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1A057D2E-A765-4C4B-AA35-7A9E91388F7F}" xr6:coauthVersionLast="47" xr6:coauthVersionMax="47" xr10:uidLastSave="{00000000-0000-0000-0000-000000000000}"/>
  <bookViews>
    <workbookView xWindow="-108" yWindow="-108" windowWidth="23256" windowHeight="13176" activeTab="1" xr2:uid="{D4C90765-517E-47FA-8322-7202E796F60C}"/>
  </bookViews>
  <sheets>
    <sheet name="Sheet1" sheetId="3" r:id="rId1"/>
    <sheet name="Report" sheetId="2" r:id="rId2"/>
  </sheets>
  <definedNames>
    <definedName name="NativeTimeline_Date">#N/A</definedName>
    <definedName name="Slicer_Region">#N/A</definedName>
    <definedName name="Slicer_Salesperson">#N/A</definedName>
  </definedNames>
  <calcPr calcId="191029"/>
  <pivotCaches>
    <pivotCache cacheId="0" r:id="rId3"/>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5" i="3" l="1"/>
  <c r="I15" i="3"/>
  <c r="J18" i="3" s="1"/>
</calcChain>
</file>

<file path=xl/sharedStrings.xml><?xml version="1.0" encoding="utf-8"?>
<sst xmlns="http://schemas.openxmlformats.org/spreadsheetml/2006/main" count="148" uniqueCount="33">
  <si>
    <t>MSI Sales Report</t>
  </si>
  <si>
    <t>Grand Total</t>
  </si>
  <si>
    <t>Raj</t>
  </si>
  <si>
    <t>West</t>
  </si>
  <si>
    <t>Priya</t>
  </si>
  <si>
    <t>South</t>
  </si>
  <si>
    <t>Neha</t>
  </si>
  <si>
    <t>North</t>
  </si>
  <si>
    <t>Amit</t>
  </si>
  <si>
    <t>Sum of Sales</t>
  </si>
  <si>
    <t>Row Labels</t>
  </si>
  <si>
    <t>Laptop</t>
  </si>
  <si>
    <t>Monitor</t>
  </si>
  <si>
    <t>Keyboard</t>
  </si>
  <si>
    <t>Feb</t>
  </si>
  <si>
    <t>Sum of Units</t>
  </si>
  <si>
    <t>Jan</t>
  </si>
  <si>
    <t>Average of Sales</t>
  </si>
  <si>
    <t>Average</t>
  </si>
  <si>
    <t>Total Sales</t>
  </si>
  <si>
    <t>Sales</t>
  </si>
  <si>
    <t>Units</t>
  </si>
  <si>
    <t>Product</t>
  </si>
  <si>
    <t>Salesperson</t>
  </si>
  <si>
    <t>Region</t>
  </si>
  <si>
    <t>Date</t>
  </si>
  <si>
    <t>IT</t>
  </si>
  <si>
    <t>Sum of Profit</t>
  </si>
  <si>
    <t>Sum of purchase</t>
  </si>
  <si>
    <t>Employee</t>
  </si>
  <si>
    <t>Department</t>
  </si>
  <si>
    <t>purchase</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</si>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</sst>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15" fontId="0" fillId="0" borderId="0" xfId="0" applyNumberFormat="1"/>
    <xf numFmtId="16" fontId="0" fillId="0" borderId="0" xfId="0" applyNumberFormat="1"/>
    <xf numFmtId="0" fontId="0" fillId="0" borderId="0" xfId="0" pivotButton="1" applyBorder="1"/>
    <xf numFmtId="0" fontId="0" fillId="0" borderId="0" xfId="0" applyBorder="1"/>
    <xf numFmtId="0" fontId="0" fillId="0" borderId="0" xfId="0" applyBorder="1" applyAlignment="1">
      <alignment horizontal="left"/>
    </xf>
    <xf numFmtId="0" fontId="0" fillId="0" borderId="0" xfId="0" applyNumberFormat="1" applyBorder="1"/>
    <xf numFmtId="0" fontId="0" fillId="0" borderId="0" xfId="0" applyBorder="1" applyAlignment="1">
      <alignment horizontal="left" indent="1"/>
    </xf>
    <xf numFmtId="0" fontId="2" fillId="0" borderId="0" xfId="0" applyFont="1" applyAlignment="1">
      <alignment horizontal="center"/>
    </xf>
    <xf numFmtId="0" fontId="1" fillId="0" borderId="0" xfId="0" applyFont="1" applyAlignment="1">
      <alignment horizontal="center"/>
    </xf>
    <xf numFmtId="0" fontId="0" fillId="0" borderId="0" xfId="0" applyAlignment="1">
      <alignment horizontal="center"/>
    </xf>
  </cellXfs>
  <cellStyles count="1">
    <cellStyle name="Normal" xfId="0" builtinId="0"/>
  </cellStyles>
  <dxfs count="863">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20" formatCode="dd/mmm/yy"/>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numFmt numFmtId="0" formatCode="General"/>
    </dxf>
    <dxf>
      <numFmt numFmtId="21" formatCode="dd/mmm"/>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2.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[MSI_report.xlsx]Sheet1!PivotTable1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Sheet1!$B$30</c:f>
              <c:strCache>
                <c:ptCount val="1"/>
                <c:pt idx="0">
                  <c:v>Total</c:v>
                </c:pt>
              </c:strCache>
            </c:strRef>
          </c:tx>
          <c:spPr>
            <a:solidFill>
              <a:schemeClr val="accent1"/>
            </a:solidFill>
            <a:ln>
              <a:noFill/>
            </a:ln>
            <a:effectLst/>
          </c:spPr>
          <c:invertIfNegative val="0"/>
          <c:cat>
            <c:strRef>
              <c:f>Sheet1!$A$31:$A$34</c:f>
              <c:strCache>
                <c:ptCount val="3"/>
                <c:pt idx="0">
                  <c:v>North</c:v>
                </c:pt>
                <c:pt idx="1">
                  <c:v>South</c:v>
                </c:pt>
                <c:pt idx="2">
                  <c:v>West</c:v>
                </c:pt>
              </c:strCache>
            </c:strRef>
          </c:cat>
          <c:val>
            <c:numRef>
              <c:f>Sheet1!$B$31:$B$34</c:f>
              <c:numCache>
                <c:formatCode>General</c:formatCode>
                <c:ptCount val="3"/>
                <c:pt idx="0">
                  <c:v>940000</c:v>
                </c:pt>
                <c:pt idx="1">
                  <c:v>590000</c:v>
                </c:pt>
                <c:pt idx="2">
                  <c:v>625000</c:v>
                </c:pt>
              </c:numCache>
            </c:numRef>
          </c:val>
          <c:extLst>
            <c:ext xmlns:c16="http://schemas.microsoft.com/office/drawing/2014/chart" uri="{C3380CC4-5D6E-409C-BE32-E72D297353CC}">
              <c16:uniqueId val="{00000000-BFE9-4130-BAAD-C0CD476DE82A}"/>
            </c:ext>
          </c:extLst>
        </c:ser>
        <c:dLbls>
          <c:showLegendKey val="0"/>
          <c:showVal val="0"/>
          <c:showCatName val="0"/>
          <c:showSerName val="0"/>
          <c:showPercent val="0"/>
          <c:showBubbleSize val="0"/>
        </c:dLbls>
        <c:gapWidth val="219"/>
        <c:overlap val="-27"/>
        <c:axId val="1134737615"/>
        <c:axId val="1134738863"/>
      </c:barChart>
      <c:catAx>
        <c:axId val="113473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738863"/>
        <c:crosses val="autoZero"/>
        <c:auto val="1"/>
        <c:lblAlgn val="ctr"/>
        <c:lblOffset val="100"/>
        <c:noMultiLvlLbl val="0"/>
      </c:catAx>
      <c:valAx>
        <c:axId val="1134738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73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[MSI_report.xlsx]Sheet1!PivotTable7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Sheet1!$E$36</c:f>
              <c:strCache>
                <c:ptCount val="1"/>
                <c:pt idx="0">
                  <c:v>Total</c:v>
                </c:pt>
              </c:strCache>
            </c:strRef>
          </c:tx>
          <c:spPr>
            <a:ln w="28575" cap="rnd">
              <a:solidFill>
                <a:schemeClr val="accent1"/>
              </a:solidFill>
              <a:round/>
            </a:ln>
            <a:effectLst/>
          </c:spPr>
          <c:marker>
            <c:symbol val="none"/>
          </c:marker>
          <c:cat>
            <c:strRef>
              <c:f>Sheet1!$D$37:$D$40</c:f>
              <c:strCache>
                <c:ptCount val="3"/>
                <c:pt idx="0">
                  <c:v>Jan</c:v>
                </c:pt>
                <c:pt idx="1">
                  <c:v>Feb</c:v>
                </c:pt>
                <c:pt idx="2">
                  <c:v>Mar</c:v>
                </c:pt>
              </c:strCache>
            </c:strRef>
          </c:cat>
          <c:val>
            <c:numRef>
              <c:f>Sheet1!$E$37:$E$40</c:f>
              <c:numCache>
                <c:formatCode>General</c:formatCode>
                <c:ptCount val="3"/>
                <c:pt idx="0">
                  <c:v>835000</c:v>
                </c:pt>
                <c:pt idx="1">
                  <c:v>990000</c:v>
                </c:pt>
                <c:pt idx="2">
                  <c:v>330000</c:v>
                </c:pt>
              </c:numCache>
            </c:numRef>
          </c:val>
          <c:smooth val="0"/>
          <c:extLst>
            <c:ext xmlns:c16="http://schemas.microsoft.com/office/drawing/2014/chart" uri="{C3380CC4-5D6E-409C-BE32-E72D297353CC}">
              <c16:uniqueId val="{00000000-3416-4400-B5DA-4488339C4FE0}"/>
            </c:ext>
          </c:extLst>
        </c:ser>
        <c:dLbls>
          <c:showLegendKey val="0"/>
          <c:showVal val="0"/>
          <c:showCatName val="0"/>
          <c:showSerName val="0"/>
          <c:showPercent val="0"/>
          <c:showBubbleSize val="0"/>
        </c:dLbls>
        <c:smooth val="0"/>
        <c:axId val="902906927"/>
        <c:axId val="902904847"/>
      </c:lineChart>
      <c:catAx>
        <c:axId val="90290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904847"/>
        <c:crosses val="autoZero"/>
        <c:auto val="1"/>
        <c:lblAlgn val="ctr"/>
        <c:lblOffset val="100"/>
        <c:noMultiLvlLbl val="0"/>
      </c:catAx>
      <c:valAx>
        <c:axId val="902904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90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[MSI_report.xlsx]Sheet1!PivotTable8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Sheet1!$K$30</c:f>
              <c:strCache>
                <c:ptCount val="1"/>
                <c:pt idx="0">
                  <c:v>Total</c:v>
                </c:pt>
              </c:strCache>
            </c:strRef>
          </c:tx>
          <c:spPr>
            <a:solidFill>
              <a:schemeClr val="accent1"/>
            </a:solidFill>
            <a:ln>
              <a:noFill/>
            </a:ln>
            <a:effectLst/>
          </c:spPr>
          <c:invertIfNegative val="0"/>
          <c:cat>
            <c:multiLvlStrRef>
              <c:f>Sheet1!$J$31:$J$41</c:f>
              <c:multiLvlStrCache>
                <c:ptCount val="7"/>
                <c:lvl>
                  <c:pt idx="0">
                    <c:v>Laptop</c:v>
                  </c:pt>
                  <c:pt idx="1">
                    <c:v>Monitor</c:v>
                  </c:pt>
                  <c:pt idx="2">
                    <c:v>Keyboard</c:v>
                  </c:pt>
                  <c:pt idx="3">
                    <c:v>Laptop</c:v>
                  </c:pt>
                  <c:pt idx="4">
                    <c:v>Monitor</c:v>
                  </c:pt>
                  <c:pt idx="5">
                    <c:v>Keyboard</c:v>
                  </c:pt>
                  <c:pt idx="6">
                    <c:v>Laptop</c:v>
                  </c:pt>
                </c:lvl>
                <c:lvl>
                  <c:pt idx="0">
                    <c:v>North</c:v>
                  </c:pt>
                  <c:pt idx="2">
                    <c:v>South</c:v>
                  </c:pt>
                  <c:pt idx="5">
                    <c:v>West</c:v>
                  </c:pt>
                </c:lvl>
              </c:multiLvlStrCache>
            </c:multiLvlStrRef>
          </c:cat>
          <c:val>
            <c:numRef>
              <c:f>Sheet1!$K$31:$K$41</c:f>
              <c:numCache>
                <c:formatCode>General</c:formatCode>
                <c:ptCount val="7"/>
                <c:pt idx="0">
                  <c:v>600000</c:v>
                </c:pt>
                <c:pt idx="1">
                  <c:v>340000</c:v>
                </c:pt>
                <c:pt idx="2">
                  <c:v>100000</c:v>
                </c:pt>
                <c:pt idx="3">
                  <c:v>150000</c:v>
                </c:pt>
                <c:pt idx="4">
                  <c:v>340000</c:v>
                </c:pt>
                <c:pt idx="5">
                  <c:v>75000</c:v>
                </c:pt>
                <c:pt idx="6">
                  <c:v>550000</c:v>
                </c:pt>
              </c:numCache>
            </c:numRef>
          </c:val>
          <c:extLst>
            <c:ext xmlns:c16="http://schemas.microsoft.com/office/drawing/2014/chart" uri="{C3380CC4-5D6E-409C-BE32-E72D297353CC}">
              <c16:uniqueId val="{00000000-A6CE-4F9E-BB74-4D260E81CB58}"/>
            </c:ext>
          </c:extLst>
        </c:ser>
        <c:dLbls>
          <c:showLegendKey val="0"/>
          <c:showVal val="0"/>
          <c:showCatName val="0"/>
          <c:showSerName val="0"/>
          <c:showPercent val="0"/>
          <c:showBubbleSize val="0"/>
        </c:dLbls>
        <c:gapWidth val="182"/>
        <c:axId val="1136778639"/>
        <c:axId val="1136777391"/>
      </c:barChart>
      <c:catAx>
        <c:axId val="1136778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777391"/>
        <c:crosses val="autoZero"/>
        <c:auto val="1"/>
        <c:lblAlgn val="ctr"/>
        <c:lblOffset val="100"/>
        <c:noMultiLvlLbl val="0"/>
      </c:catAx>
      <c:valAx>
        <c:axId val="1136777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778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[MSI_report.xlsx]Sheet1!PivotTable7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Sheet1!$E$36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Sheet1!$D$37:$D$40</c:f>
              <c:strCache>
                <c:ptCount val="3"/>
                <c:pt idx="0">
                  <c:v>Jan</c:v>
                </c:pt>
                <c:pt idx="1">
                  <c:v>Feb</c:v>
                </c:pt>
                <c:pt idx="2">
                  <c:v>Mar</c:v>
                </c:pt>
              </c:strCache>
            </c:strRef>
          </c:cat>
          <c:val>
            <c:numRef>
              <c:f>Sheet1!$E$37:$E$40</c:f>
              <c:numCache>
                <c:formatCode>General</c:formatCode>
                <c:ptCount val="3"/>
                <c:pt idx="0">
                  <c:v>835000</c:v>
                </c:pt>
                <c:pt idx="1">
                  <c:v>990000</c:v>
                </c:pt>
                <c:pt idx="2">
                  <c:v>330000</c:v>
                </c:pt>
              </c:numCache>
            </c:numRef>
          </c:val>
          <c:smooth val="0"/>
          <c:extLst>
            <c:ext xmlns:c16="http://schemas.microsoft.com/office/drawing/2014/chart" uri="{C3380CC4-5D6E-409C-BE32-E72D297353CC}">
              <c16:uniqueId val="{00000000-3D6B-4FFC-900F-4EAB655F57BC}"/>
            </c:ext>
          </c:extLst>
        </c:ser>
        <c:dLbls>
          <c:showLegendKey val="0"/>
          <c:showVal val="0"/>
          <c:showCatName val="0"/>
          <c:showSerName val="0"/>
          <c:showPercent val="0"/>
          <c:showBubbleSize val="0"/>
        </c:dLbls>
        <c:marker val="1"/>
        <c:smooth val="0"/>
        <c:axId val="1113647391"/>
        <c:axId val="1113646559"/>
      </c:lineChart>
      <c:catAx>
        <c:axId val="1113647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646559"/>
        <c:crosses val="autoZero"/>
        <c:auto val="1"/>
        <c:lblAlgn val="ctr"/>
        <c:lblOffset val="100"/>
        <c:noMultiLvlLbl val="0"/>
      </c:catAx>
      <c:valAx>
        <c:axId val="1113646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647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[MSI_report.xlsx]Sheet1!PivotTable5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Sheet1!$H$37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Sheet1!$G$38:$G$41</c:f>
              <c:strCache>
                <c:ptCount val="3"/>
                <c:pt idx="0">
                  <c:v>Keyboard</c:v>
                </c:pt>
                <c:pt idx="1">
                  <c:v>Laptop</c:v>
                </c:pt>
                <c:pt idx="2">
                  <c:v>Monitor</c:v>
                </c:pt>
              </c:strCache>
            </c:strRef>
          </c:cat>
          <c:val>
            <c:numRef>
              <c:f>Sheet1!$H$38:$H$41</c:f>
              <c:numCache>
                <c:formatCode>General</c:formatCode>
                <c:ptCount val="3"/>
                <c:pt idx="0">
                  <c:v>35</c:v>
                </c:pt>
                <c:pt idx="1">
                  <c:v>26</c:v>
                </c:pt>
                <c:pt idx="2">
                  <c:v>34</c:v>
                </c:pt>
              </c:numCache>
            </c:numRef>
          </c:val>
          <c:extLst>
            <c:ext xmlns:c16="http://schemas.microsoft.com/office/drawing/2014/chart" uri="{C3380CC4-5D6E-409C-BE32-E72D297353CC}">
              <c16:uniqueId val="{00000000-57E4-47F8-9975-A6D61520D7F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[MSI_report.xlsx]Sheet1!PivotTable4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Sheet1!$H$30</c:f>
              <c:strCache>
                <c:ptCount val="1"/>
                <c:pt idx="0">
                  <c:v>Total</c:v>
                </c:pt>
              </c:strCache>
            </c:strRef>
          </c:tx>
          <c:spPr>
            <a:solidFill>
              <a:schemeClr val="accent1"/>
            </a:solidFill>
            <a:ln>
              <a:noFill/>
            </a:ln>
            <a:effectLst/>
          </c:spPr>
          <c:invertIfNegative val="0"/>
          <c:cat>
            <c:strRef>
              <c:f>Sheet1!$G$31:$G$35</c:f>
              <c:strCache>
                <c:ptCount val="4"/>
                <c:pt idx="0">
                  <c:v>Amit</c:v>
                </c:pt>
                <c:pt idx="1">
                  <c:v>Neha</c:v>
                </c:pt>
                <c:pt idx="2">
                  <c:v>Priya</c:v>
                </c:pt>
                <c:pt idx="3">
                  <c:v>Raj</c:v>
                </c:pt>
              </c:strCache>
            </c:strRef>
          </c:cat>
          <c:val>
            <c:numRef>
              <c:f>Sheet1!$H$31:$H$35</c:f>
              <c:numCache>
                <c:formatCode>General</c:formatCode>
                <c:ptCount val="4"/>
                <c:pt idx="0">
                  <c:v>540000</c:v>
                </c:pt>
                <c:pt idx="1">
                  <c:v>610000</c:v>
                </c:pt>
                <c:pt idx="2">
                  <c:v>325000</c:v>
                </c:pt>
                <c:pt idx="3">
                  <c:v>680000</c:v>
                </c:pt>
              </c:numCache>
            </c:numRef>
          </c:val>
          <c:extLst>
            <c:ext xmlns:c16="http://schemas.microsoft.com/office/drawing/2014/chart" uri="{C3380CC4-5D6E-409C-BE32-E72D297353CC}">
              <c16:uniqueId val="{00000000-BEC4-44D6-B19C-319E9B5024B3}"/>
            </c:ext>
          </c:extLst>
        </c:ser>
        <c:dLbls>
          <c:showLegendKey val="0"/>
          <c:showVal val="0"/>
          <c:showCatName val="0"/>
          <c:showSerName val="0"/>
          <c:showPercent val="0"/>
          <c:showBubbleSize val="0"/>
        </c:dLbls>
        <c:gapWidth val="219"/>
        <c:overlap val="-27"/>
        <c:axId val="1160301056"/>
        <c:axId val="1160300640"/>
      </c:barChart>
      <c:catAx>
        <c:axId val="116030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300640"/>
        <c:crosses val="autoZero"/>
        <c:auto val="1"/>
        <c:lblAlgn val="ctr"/>
        <c:lblOffset val="100"/>
        <c:noMultiLvlLbl val="0"/>
      </c:catAx>
      <c:valAx>
        <c:axId val="1160300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301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[MSI_report.xlsx]Sheet1!PivotTable1</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Sheet1!$B$30</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Sheet1!$A$31:$A$34</c:f>
              <c:strCache>
                <c:ptCount val="3"/>
                <c:pt idx="0">
                  <c:v>North</c:v>
                </c:pt>
                <c:pt idx="1">
                  <c:v>South</c:v>
                </c:pt>
                <c:pt idx="2">
                  <c:v>West</c:v>
                </c:pt>
              </c:strCache>
            </c:strRef>
          </c:cat>
          <c:val>
            <c:numRef>
              <c:f>Sheet1!$B$31:$B$34</c:f>
              <c:numCache>
                <c:formatCode>General</c:formatCode>
                <c:ptCount val="3"/>
                <c:pt idx="0">
                  <c:v>940000</c:v>
                </c:pt>
                <c:pt idx="1">
                  <c:v>590000</c:v>
                </c:pt>
                <c:pt idx="2">
                  <c:v>625000</c:v>
                </c:pt>
              </c:numCache>
            </c:numRef>
          </c:val>
          <c:extLst>
            <c:ext xmlns:c16="http://schemas.microsoft.com/office/drawing/2014/chart" uri="{C3380CC4-5D6E-409C-BE32-E72D297353CC}">
              <c16:uniqueId val="{00000003-0C06-48F9-AE1A-80DB66327580}"/>
            </c:ext>
          </c:extLst>
        </c:ser>
        <c:dLbls>
          <c:dLblPos val="inEnd"/>
          <c:showLegendKey val="0"/>
          <c:showVal val="1"/>
          <c:showCatName val="0"/>
          <c:showSerName val="0"/>
          <c:showPercent val="0"/>
          <c:showBubbleSize val="0"/>
        </c:dLbls>
        <c:gapWidth val="65"/>
        <c:axId val="1134737615"/>
        <c:axId val="1134738863"/>
      </c:barChart>
      <c:catAx>
        <c:axId val="11347376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34738863"/>
        <c:crosses val="autoZero"/>
        <c:auto val="1"/>
        <c:lblAlgn val="ctr"/>
        <c:lblOffset val="100"/>
        <c:noMultiLvlLbl val="0"/>
      </c:catAx>
      <c:valAx>
        <c:axId val="113473886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3473761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[MSI_report.xlsx]Sheet1!PivotTable7</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Monthly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Sheet1!$E$36</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Sheet1!$D$37:$D$40</c:f>
              <c:strCache>
                <c:ptCount val="3"/>
                <c:pt idx="0">
                  <c:v>Jan</c:v>
                </c:pt>
                <c:pt idx="1">
                  <c:v>Feb</c:v>
                </c:pt>
                <c:pt idx="2">
                  <c:v>Mar</c:v>
                </c:pt>
              </c:strCache>
            </c:strRef>
          </c:cat>
          <c:val>
            <c:numRef>
              <c:f>Sheet1!$E$37:$E$40</c:f>
              <c:numCache>
                <c:formatCode>General</c:formatCode>
                <c:ptCount val="3"/>
                <c:pt idx="0">
                  <c:v>835000</c:v>
                </c:pt>
                <c:pt idx="1">
                  <c:v>990000</c:v>
                </c:pt>
                <c:pt idx="2">
                  <c:v>330000</c:v>
                </c:pt>
              </c:numCache>
            </c:numRef>
          </c:val>
          <c:smooth val="0"/>
          <c:extLst>
            <c:ext xmlns:c16="http://schemas.microsoft.com/office/drawing/2014/chart" uri="{C3380CC4-5D6E-409C-BE32-E72D297353CC}">
              <c16:uniqueId val="{00000000-F981-4E85-956F-44F6B6733E88}"/>
            </c:ext>
          </c:extLst>
        </c:ser>
        <c:dLbls>
          <c:dLblPos val="ctr"/>
          <c:showLegendKey val="0"/>
          <c:showVal val="1"/>
          <c:showCatName val="0"/>
          <c:showSerName val="0"/>
          <c:showPercent val="0"/>
          <c:showBubbleSize val="0"/>
        </c:dLbls>
        <c:marker val="1"/>
        <c:smooth val="0"/>
        <c:axId val="902906927"/>
        <c:axId val="902904847"/>
      </c:lineChart>
      <c:catAx>
        <c:axId val="9029069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02904847"/>
        <c:crosses val="autoZero"/>
        <c:auto val="1"/>
        <c:lblAlgn val="ctr"/>
        <c:lblOffset val="100"/>
        <c:noMultiLvlLbl val="0"/>
      </c:catAx>
      <c:valAx>
        <c:axId val="90290484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029069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[MSI_report.xlsx]Sheet1!PivotTable5</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Unit</a:t>
            </a:r>
            <a:r>
              <a:rPr lang="en-US" baseline="0"/>
              <a:t> Sold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3"/>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Sheet1!$H$37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88E-484F-A5CB-F42C759EAD5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88E-484F-A5CB-F42C759EAD5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88E-484F-A5CB-F42C759EAD5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Sheet1!$G$38:$G$41</c:f>
              <c:strCache>
                <c:ptCount val="3"/>
                <c:pt idx="0">
                  <c:v>Keyboard</c:v>
                </c:pt>
                <c:pt idx="1">
                  <c:v>Laptop</c:v>
                </c:pt>
                <c:pt idx="2">
                  <c:v>Monitor</c:v>
                </c:pt>
              </c:strCache>
            </c:strRef>
          </c:cat>
          <c:val>
            <c:numRef>
              <c:f>Sheet1!$H$38:$H$41</c:f>
              <c:numCache>
                <c:formatCode>General</c:formatCode>
                <c:ptCount val="3"/>
                <c:pt idx="0">
                  <c:v>35</c:v>
                </c:pt>
                <c:pt idx="1">
                  <c:v>26</c:v>
                </c:pt>
                <c:pt idx="2">
                  <c:v>34</c:v>
                </c:pt>
              </c:numCache>
            </c:numRef>
          </c:val>
          <c:extLst>
            <c:ext xmlns:c16="http://schemas.microsoft.com/office/drawing/2014/chart" uri="{C3380CC4-5D6E-409C-BE32-E72D297353CC}">
              <c16:uniqueId val="{00000006-588E-484F-A5CB-F42C759EAD5F}"/>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[MSI_report.xlsx]Sheet1!PivotTable4</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Salesperson performance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Sheet1!$H$30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Sheet1!$G$31:$G$35</c:f>
              <c:strCache>
                <c:ptCount val="4"/>
                <c:pt idx="0">
                  <c:v>Amit</c:v>
                </c:pt>
                <c:pt idx="1">
                  <c:v>Neha</c:v>
                </c:pt>
                <c:pt idx="2">
                  <c:v>Priya</c:v>
                </c:pt>
                <c:pt idx="3">
                  <c:v>Raj</c:v>
                </c:pt>
              </c:strCache>
            </c:strRef>
          </c:cat>
          <c:val>
            <c:numRef>
              <c:f>Sheet1!$H$31:$H$35</c:f>
              <c:numCache>
                <c:formatCode>General</c:formatCode>
                <c:ptCount val="4"/>
                <c:pt idx="0">
                  <c:v>540000</c:v>
                </c:pt>
                <c:pt idx="1">
                  <c:v>610000</c:v>
                </c:pt>
                <c:pt idx="2">
                  <c:v>325000</c:v>
                </c:pt>
                <c:pt idx="3">
                  <c:v>680000</c:v>
                </c:pt>
              </c:numCache>
            </c:numRef>
          </c:val>
          <c:extLst>
            <c:ext xmlns:c16="http://schemas.microsoft.com/office/drawing/2014/chart" uri="{C3380CC4-5D6E-409C-BE32-E72D297353CC}">
              <c16:uniqueId val="{00000000-3C1A-45FC-82BA-5DDD32A657F3}"/>
            </c:ext>
          </c:extLst>
        </c:ser>
        <c:dLbls>
          <c:dLblPos val="inEnd"/>
          <c:showLegendKey val="0"/>
          <c:showVal val="1"/>
          <c:showCatName val="0"/>
          <c:showSerName val="0"/>
          <c:showPercent val="0"/>
          <c:showBubbleSize val="0"/>
        </c:dLbls>
        <c:gapWidth val="65"/>
        <c:axId val="1160301056"/>
        <c:axId val="1160300640"/>
      </c:barChart>
      <c:catAx>
        <c:axId val="11603010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60300640"/>
        <c:crosses val="autoZero"/>
        <c:auto val="1"/>
        <c:lblAlgn val="ctr"/>
        <c:lblOffset val="100"/>
        <c:noMultiLvlLbl val="0"/>
      </c:catAx>
      <c:valAx>
        <c:axId val="116030064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603010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[MSI_report.xlsx]Sheet1!PivotTable8</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Sheet1!$K$30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Sheet1!$J$31:$J$41</c:f>
              <c:multiLvlStrCache>
                <c:ptCount val="7"/>
                <c:lvl>
                  <c:pt idx="0">
                    <c:v>Laptop</c:v>
                  </c:pt>
                  <c:pt idx="1">
                    <c:v>Monitor</c:v>
                  </c:pt>
                  <c:pt idx="2">
                    <c:v>Keyboard</c:v>
                  </c:pt>
                  <c:pt idx="3">
                    <c:v>Laptop</c:v>
                  </c:pt>
                  <c:pt idx="4">
                    <c:v>Monitor</c:v>
                  </c:pt>
                  <c:pt idx="5">
                    <c:v>Keyboard</c:v>
                  </c:pt>
                  <c:pt idx="6">
                    <c:v>Laptop</c:v>
                  </c:pt>
                </c:lvl>
                <c:lvl>
                  <c:pt idx="0">
                    <c:v>North</c:v>
                  </c:pt>
                  <c:pt idx="2">
                    <c:v>South</c:v>
                  </c:pt>
                  <c:pt idx="5">
                    <c:v>West</c:v>
                  </c:pt>
                </c:lvl>
              </c:multiLvlStrCache>
            </c:multiLvlStrRef>
          </c:cat>
          <c:val>
            <c:numRef>
              <c:f>Sheet1!$K$31:$K$41</c:f>
              <c:numCache>
                <c:formatCode>General</c:formatCode>
                <c:ptCount val="7"/>
                <c:pt idx="0">
                  <c:v>600000</c:v>
                </c:pt>
                <c:pt idx="1">
                  <c:v>340000</c:v>
                </c:pt>
                <c:pt idx="2">
                  <c:v>100000</c:v>
                </c:pt>
                <c:pt idx="3">
                  <c:v>150000</c:v>
                </c:pt>
                <c:pt idx="4">
                  <c:v>340000</c:v>
                </c:pt>
                <c:pt idx="5">
                  <c:v>75000</c:v>
                </c:pt>
                <c:pt idx="6">
                  <c:v>550000</c:v>
                </c:pt>
              </c:numCache>
            </c:numRef>
          </c:val>
          <c:extLst>
            <c:ext xmlns:c16="http://schemas.microsoft.com/office/drawing/2014/chart" uri="{C3380CC4-5D6E-409C-BE32-E72D297353CC}">
              <c16:uniqueId val="{00000000-E1FD-4E51-ADEF-F2417D5BA2E7}"/>
            </c:ext>
          </c:extLst>
        </c:ser>
        <c:dLbls>
          <c:dLblPos val="inEnd"/>
          <c:showLegendKey val="0"/>
          <c:showVal val="1"/>
          <c:showCatName val="0"/>
          <c:showSerName val="0"/>
          <c:showPercent val="0"/>
          <c:showBubbleSize val="0"/>
        </c:dLbls>
        <c:gapWidth val="65"/>
        <c:axId val="1136778639"/>
        <c:axId val="1136777391"/>
      </c:barChart>
      <c:catAx>
        <c:axId val="113677863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36777391"/>
        <c:crosses val="autoZero"/>
        <c:auto val="1"/>
        <c:lblAlgn val="ctr"/>
        <c:lblOffset val="100"/>
        <c:noMultiLvlLbl val="0"/>
      </c:catAx>
      <c:valAx>
        <c:axId val="113677739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367786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2.png"/><Relationship Id="rId7" Type="http://schemas.openxmlformats.org/officeDocument/2006/relationships/chart" Target="../charts/chart10.xml"/><Relationship Id="rId2" Type="http://schemas.openxmlformats.org/officeDocument/2006/relationships/image" Target="../media/image1.emf"/><Relationship Id="rId1" Type="http://schemas.openxmlformats.org/officeDocument/2006/relationships/chart" Target="../charts/chart7.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image" Target="../media/image3.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0</xdr:col>
      <xdr:colOff>0</xdr:colOff>
      <xdr:row>47</xdr:row>
      <xdr:rowOff>7620</xdr:rowOff>
    </xdr:from>
    <xdr:to>
      <xdr:col>4</xdr:col>
      <xdr:colOff>7620</xdr:colOff>
      <xdr:row>57</xdr:row>
      <xdr:rowOff>7620</xdr:rowOff>
    </xdr:to>
    <xdr:graphicFrame macro="">
      <xdr:nvGraphicFramePr>
        <xdr:cNvPr id="2" name="Chart 1">
          <a:extLst>
            <a:ext uri="{FF2B5EF4-FFF2-40B4-BE49-F238E27FC236}">
              <a16:creationId xmlns:a16="http://schemas.microsoft.com/office/drawing/2014/main" id="{CEA30DAC-39DE-486D-BB4B-8285532A6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57</xdr:row>
      <xdr:rowOff>76200</xdr:rowOff>
    </xdr:from>
    <xdr:to>
      <xdr:col>4</xdr:col>
      <xdr:colOff>0</xdr:colOff>
      <xdr:row>69</xdr:row>
      <xdr:rowOff>53340</xdr:rowOff>
    </xdr:to>
    <xdr:graphicFrame macro="">
      <xdr:nvGraphicFramePr>
        <xdr:cNvPr id="3" name="Chart 2">
          <a:extLst>
            <a:ext uri="{FF2B5EF4-FFF2-40B4-BE49-F238E27FC236}">
              <a16:creationId xmlns:a16="http://schemas.microsoft.com/office/drawing/2014/main" id="{9A442254-6AE2-4B59-9EC4-D2F607E81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4</xdr:col>
      <xdr:colOff>152400</xdr:colOff>
      <xdr:row>47</xdr:row>
      <xdr:rowOff>0</xdr:rowOff>
    </xdr:from>
    <xdr:ext cx="3817620" cy="1371600"/>
    <mc:AlternateContent xmlns:mc="http://schemas.openxmlformats.org/markup-compatibility/2006">
      <mc:Choice xmlns:tsle="http://schemas.microsoft.com/office/drawing/2012/timeslicer" Requires="tsle">
        <xdr:graphicFrame macro="">
          <xdr:nvGraphicFramePr>
            <xdr:cNvPr id="6" name="Date">
              <a:extLst>
                <a:ext uri="{FF2B5EF4-FFF2-40B4-BE49-F238E27FC236}">
                  <a16:creationId xmlns:a16="http://schemas.microsoft.com/office/drawing/2014/main" id="{703E9399-CCF6-4296-8ABA-0E8496B38EEA}"/>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3589020" y="8755380"/>
              <a:ext cx="381762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oneCellAnchor>
  <xdr:twoCellAnchor>
    <xdr:from>
      <xdr:col>0</xdr:col>
      <xdr:colOff>0</xdr:colOff>
      <xdr:row>70</xdr:row>
      <xdr:rowOff>38100</xdr:rowOff>
    </xdr:from>
    <xdr:to>
      <xdr:col>4</xdr:col>
      <xdr:colOff>22860</xdr:colOff>
      <xdr:row>85</xdr:row>
      <xdr:rowOff>38100</xdr:rowOff>
    </xdr:to>
    <xdr:graphicFrame macro="">
      <xdr:nvGraphicFramePr>
        <xdr:cNvPr id="7" name="Chart 6">
          <a:extLst>
            <a:ext uri="{FF2B5EF4-FFF2-40B4-BE49-F238E27FC236}">
              <a16:creationId xmlns:a16="http://schemas.microsoft.com/office/drawing/2014/main" id="{469ED780-7946-4FDA-B7D5-827AD961BB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137160</xdr:colOff>
      <xdr:row>66</xdr:row>
      <xdr:rowOff>22860</xdr:rowOff>
    </xdr:from>
    <xdr:to>
      <xdr:col>8</xdr:col>
      <xdr:colOff>594360</xdr:colOff>
      <xdr:row>81</xdr:row>
      <xdr:rowOff>22860</xdr:rowOff>
    </xdr:to>
    <xdr:graphicFrame macro="">
      <xdr:nvGraphicFramePr>
        <xdr:cNvPr id="8" name="Chart 7">
          <a:extLst>
            <a:ext uri="{FF2B5EF4-FFF2-40B4-BE49-F238E27FC236}">
              <a16:creationId xmlns:a16="http://schemas.microsoft.com/office/drawing/2014/main" id="{5F60590C-6A2A-4112-8D88-D97ECD2FF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426720</xdr:colOff>
      <xdr:row>17</xdr:row>
      <xdr:rowOff>0</xdr:rowOff>
    </xdr:from>
    <xdr:to>
      <xdr:col>8</xdr:col>
      <xdr:colOff>556260</xdr:colOff>
      <xdr:row>19</xdr:row>
      <xdr:rowOff>121920</xdr:rowOff>
    </xdr:to>
    <xdr:sp macro="" textlink="$G$15">
      <xdr:nvSpPr>
        <xdr:cNvPr id="9" name="TextBox 8">
          <a:extLst>
            <a:ext uri="{FF2B5EF4-FFF2-40B4-BE49-F238E27FC236}">
              <a16:creationId xmlns:a16="http://schemas.microsoft.com/office/drawing/2014/main" id="{05B04B71-584D-41EE-AFC6-9F4FA24CADF4}"/>
            </a:ext>
          </a:extLst>
        </xdr:cNvPr>
        <xdr:cNvSpPr txBox="1"/>
      </xdr:nvSpPr>
      <xdr:spPr>
        <a:xfrm>
          <a:off x="4693920" y="3108960"/>
          <a:ext cx="739140" cy="487680"/>
        </a:xfrm>
        <a:prstGeom prst="rect">
          <a:avLst/>
        </a:prstGeom>
        <a:solidFill>
          <a:schemeClr val="bg1">
            <a:lumMod val="6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B7E9EE-2249-4034-8AA5-5C945C5493DA}" type="TxLink">
            <a:rPr lang="en-US" sz="1600" b="0" i="0" u="none" strike="noStrike">
              <a:solidFill>
                <a:srgbClr val="000000"/>
              </a:solidFill>
              <a:latin typeface="Calibri"/>
              <a:ea typeface="Calibri"/>
              <a:cs typeface="Calibri"/>
            </a:rPr>
            <a:pPr algn="ctr"/>
            <a:t>2955000</a:t>
          </a:fld>
          <a:endParaRPr lang="en-IN" sz="1600"/>
        </a:p>
      </xdr:txBody>
    </xdr:sp>
    <xdr:clientData/>
  </xdr:twoCellAnchor>
  <xdr:twoCellAnchor>
    <xdr:from>
      <xdr:col>9</xdr:col>
      <xdr:colOff>167640</xdr:colOff>
      <xdr:row>17</xdr:row>
      <xdr:rowOff>53340</xdr:rowOff>
    </xdr:from>
    <xdr:to>
      <xdr:col>10</xdr:col>
      <xdr:colOff>342900</xdr:colOff>
      <xdr:row>19</xdr:row>
      <xdr:rowOff>106680</xdr:rowOff>
    </xdr:to>
    <xdr:sp macro="" textlink="">
      <xdr:nvSpPr>
        <xdr:cNvPr id="10" name="Rectangle 9">
          <a:extLst>
            <a:ext uri="{FF2B5EF4-FFF2-40B4-BE49-F238E27FC236}">
              <a16:creationId xmlns:a16="http://schemas.microsoft.com/office/drawing/2014/main" id="{B3F99C4B-34C0-4B2A-B343-2B9A896840AA}"/>
            </a:ext>
          </a:extLst>
        </xdr:cNvPr>
        <xdr:cNvSpPr/>
      </xdr:nvSpPr>
      <xdr:spPr>
        <a:xfrm>
          <a:off x="5654040" y="3162300"/>
          <a:ext cx="784860" cy="41910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289560</xdr:colOff>
      <xdr:row>42</xdr:row>
      <xdr:rowOff>15240</xdr:rowOff>
    </xdr:from>
    <xdr:to>
      <xdr:col>13</xdr:col>
      <xdr:colOff>30480</xdr:colOff>
      <xdr:row>54</xdr:row>
      <xdr:rowOff>38100</xdr:rowOff>
    </xdr:to>
    <xdr:graphicFrame macro="">
      <xdr:nvGraphicFramePr>
        <xdr:cNvPr id="11" name="Chart 10">
          <a:extLst>
            <a:ext uri="{FF2B5EF4-FFF2-40B4-BE49-F238E27FC236}">
              <a16:creationId xmlns:a16="http://schemas.microsoft.com/office/drawing/2014/main" id="{23568569-5864-48C9-9A36-51C6150D9C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998220</xdr:colOff>
      <xdr:row>57</xdr:row>
      <xdr:rowOff>30480</xdr:rowOff>
    </xdr:from>
    <xdr:to>
      <xdr:col>15</xdr:col>
      <xdr:colOff>434340</xdr:colOff>
      <xdr:row>72</xdr:row>
      <xdr:rowOff>30480</xdr:rowOff>
    </xdr:to>
    <xdr:graphicFrame macro="">
      <xdr:nvGraphicFramePr>
        <xdr:cNvPr id="12" name="Chart 11">
          <a:extLst>
            <a:ext uri="{FF2B5EF4-FFF2-40B4-BE49-F238E27FC236}">
              <a16:creationId xmlns:a16="http://schemas.microsoft.com/office/drawing/2014/main" id="{F2346896-0C68-41E6-AE35-E8F63641DC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106973</xdr:colOff>
      <xdr:row>1</xdr:row>
      <xdr:rowOff>147320</xdr:rowOff>
    </xdr:from>
    <xdr:to>
      <xdr:col>7</xdr:col>
      <xdr:colOff>11430</xdr:colOff>
      <xdr:row>12</xdr:row>
      <xdr:rowOff>116840</xdr:rowOff>
    </xdr:to>
    <xdr:graphicFrame macro="">
      <xdr:nvGraphicFramePr>
        <xdr:cNvPr id="2" name="Chart 1">
          <a:extLst>
            <a:ext uri="{FF2B5EF4-FFF2-40B4-BE49-F238E27FC236}">
              <a16:creationId xmlns:a16="http://schemas.microsoft.com/office/drawing/2014/main" id="{48C828F2-0820-44A3-92A3-61DB983399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38100</xdr:colOff>
      <xdr:row>0</xdr:row>
      <xdr:rowOff>53341</xdr:rowOff>
    </xdr:from>
    <xdr:ext cx="1828800" cy="1281430"/>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AC00C54F-41CD-4065-BE19-72642B7193D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8100" y="53341"/>
              <a:ext cx="1828800" cy="12814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53340</xdr:colOff>
      <xdr:row>16</xdr:row>
      <xdr:rowOff>15240</xdr:rowOff>
    </xdr:from>
    <xdr:ext cx="1813560" cy="1433830"/>
    <mc:AlternateContent xmlns:mc="http://schemas.openxmlformats.org/markup-compatibility/2006" xmlns:tsle="http://schemas.microsoft.com/office/drawing/2012/timeslicer">
      <mc:Choice Requires="tsle">
        <xdr:graphicFrame macro="">
          <xdr:nvGraphicFramePr>
            <xdr:cNvPr id="8" name="Date 1">
              <a:extLst>
                <a:ext uri="{FF2B5EF4-FFF2-40B4-BE49-F238E27FC236}">
                  <a16:creationId xmlns:a16="http://schemas.microsoft.com/office/drawing/2014/main" id="{EBBDD9D8-1161-4DBE-B18F-0C8856727BDC}"/>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53340" y="3006090"/>
              <a:ext cx="1813560" cy="143383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oneCellAnchor>
  <mc:AlternateContent xmlns:mc="http://schemas.openxmlformats.org/markup-compatibility/2006">
    <mc:Choice xmlns:a14="http://schemas.microsoft.com/office/drawing/2010/main" Requires="a14">
      <xdr:oneCellAnchor>
        <xdr:from>
          <xdr:col>17</xdr:col>
          <xdr:colOff>234950</xdr:colOff>
          <xdr:row>0</xdr:row>
          <xdr:rowOff>12700</xdr:rowOff>
        </xdr:from>
        <xdr:ext cx="1436370" cy="1059180"/>
        <xdr:pic>
          <xdr:nvPicPr>
            <xdr:cNvPr id="10" name="Picture 9">
              <a:extLst>
                <a:ext uri="{FF2B5EF4-FFF2-40B4-BE49-F238E27FC236}">
                  <a16:creationId xmlns:a16="http://schemas.microsoft.com/office/drawing/2014/main" id="{C5C173FF-1825-44A3-B1A1-1A64B87D2B6B}"/>
                </a:ext>
              </a:extLst>
            </xdr:cNvPr>
            <xdr:cNvPicPr>
              <a:picLocks noChangeAspect="1" noChangeArrowheads="1"/>
              <a:extLst>
                <a:ext uri="{84589F7E-364E-4C9E-8A38-B11213B215E9}">
                  <a14:cameraTool cellRange="Sheet1!$H$17:$I$21" spid="_x0000_s1037"/>
                </a:ext>
              </a:extLst>
            </xdr:cNvPicPr>
          </xdr:nvPicPr>
          <xdr:blipFill>
            <a:blip xmlns:r="http://schemas.openxmlformats.org/officeDocument/2006/relationships" r:embed="rId2"/>
            <a:srcRect/>
            <a:stretch>
              <a:fillRect/>
            </a:stretch>
          </xdr:blipFill>
          <xdr:spPr bwMode="auto">
            <a:xfrm>
              <a:off x="10598150" y="12700"/>
              <a:ext cx="1436370" cy="1059180"/>
            </a:xfrm>
            <a:prstGeom prst="rect">
              <a:avLst/>
            </a:prstGeom>
            <a:noFill/>
            <a:extLst>
              <a:ext uri="{909E8E84-426E-40DD-AFC4-6F175D3DCCD1}">
                <a14:hiddenFill>
                  <a:solidFill>
                    <a:srgbClr val="FFFFFF"/>
                  </a:solidFill>
                </a14:hiddenFill>
              </a:ext>
            </a:extLst>
          </xdr:spPr>
        </xdr:pic>
        <xdr:clientData/>
      </xdr:oneCellAnchor>
    </mc:Choice>
    <mc:Fallback/>
  </mc:AlternateContent>
  <xdr:oneCellAnchor>
    <xdr:from>
      <xdr:col>8</xdr:col>
      <xdr:colOff>120650</xdr:colOff>
      <xdr:row>0</xdr:row>
      <xdr:rowOff>0</xdr:rowOff>
    </xdr:from>
    <xdr:ext cx="361950" cy="285750"/>
    <xdr:pic>
      <xdr:nvPicPr>
        <xdr:cNvPr id="11" name="Graphic 10" descr="Money with solid fill">
          <a:extLst>
            <a:ext uri="{FF2B5EF4-FFF2-40B4-BE49-F238E27FC236}">
              <a16:creationId xmlns:a16="http://schemas.microsoft.com/office/drawing/2014/main" id="{8EBBBBE9-22DB-47F3-8EE9-E07109F9A64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997450" y="0"/>
          <a:ext cx="361950" cy="285750"/>
        </a:xfrm>
        <a:prstGeom prst="rect">
          <a:avLst/>
        </a:prstGeom>
      </xdr:spPr>
    </xdr:pic>
    <xdr:clientData/>
  </xdr:oneCellAnchor>
  <xdr:twoCellAnchor>
    <xdr:from>
      <xdr:col>3</xdr:col>
      <xdr:colOff>114300</xdr:colOff>
      <xdr:row>12</xdr:row>
      <xdr:rowOff>152400</xdr:rowOff>
    </xdr:from>
    <xdr:to>
      <xdr:col>9</xdr:col>
      <xdr:colOff>577850</xdr:colOff>
      <xdr:row>25</xdr:row>
      <xdr:rowOff>6350</xdr:rowOff>
    </xdr:to>
    <xdr:graphicFrame macro="">
      <xdr:nvGraphicFramePr>
        <xdr:cNvPr id="12" name="Chart 11">
          <a:extLst>
            <a:ext uri="{FF2B5EF4-FFF2-40B4-BE49-F238E27FC236}">
              <a16:creationId xmlns:a16="http://schemas.microsoft.com/office/drawing/2014/main" id="{4A09B98A-A01C-459F-BEBB-A4E4C441A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38100</xdr:colOff>
      <xdr:row>1</xdr:row>
      <xdr:rowOff>114300</xdr:rowOff>
    </xdr:from>
    <xdr:to>
      <xdr:col>10</xdr:col>
      <xdr:colOff>171450</xdr:colOff>
      <xdr:row>12</xdr:row>
      <xdr:rowOff>109220</xdr:rowOff>
    </xdr:to>
    <xdr:graphicFrame macro="">
      <xdr:nvGraphicFramePr>
        <xdr:cNvPr id="13" name="Chart 12">
          <a:extLst>
            <a:ext uri="{FF2B5EF4-FFF2-40B4-BE49-F238E27FC236}">
              <a16:creationId xmlns:a16="http://schemas.microsoft.com/office/drawing/2014/main" id="{D8CFEE40-45C0-4B8E-BB1E-1D9C852D92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209550</xdr:colOff>
      <xdr:row>1</xdr:row>
      <xdr:rowOff>120650</xdr:rowOff>
    </xdr:from>
    <xdr:to>
      <xdr:col>17</xdr:col>
      <xdr:colOff>406400</xdr:colOff>
      <xdr:row>12</xdr:row>
      <xdr:rowOff>114300</xdr:rowOff>
    </xdr:to>
    <xdr:graphicFrame macro="">
      <xdr:nvGraphicFramePr>
        <xdr:cNvPr id="14" name="Chart 13">
          <a:extLst>
            <a:ext uri="{FF2B5EF4-FFF2-40B4-BE49-F238E27FC236}">
              <a16:creationId xmlns:a16="http://schemas.microsoft.com/office/drawing/2014/main" id="{DA6AD11F-81AE-492D-9718-442A4A5D7A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39370</xdr:colOff>
      <xdr:row>7</xdr:row>
      <xdr:rowOff>34291</xdr:rowOff>
    </xdr:from>
    <xdr:to>
      <xdr:col>3</xdr:col>
      <xdr:colOff>39370</xdr:colOff>
      <xdr:row>15</xdr:row>
      <xdr:rowOff>152400</xdr:rowOff>
    </xdr:to>
    <mc:AlternateContent xmlns:mc="http://schemas.openxmlformats.org/markup-compatibility/2006">
      <mc:Choice xmlns:a14="http://schemas.microsoft.com/office/drawing/2010/main" Requires="a14">
        <xdr:graphicFrame macro="">
          <xdr:nvGraphicFramePr>
            <xdr:cNvPr id="15" name="Salesperson">
              <a:extLst>
                <a:ext uri="{FF2B5EF4-FFF2-40B4-BE49-F238E27FC236}">
                  <a16:creationId xmlns:a16="http://schemas.microsoft.com/office/drawing/2014/main" id="{6DDD5054-C5CC-4437-B404-6CB6F2B658CC}"/>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39370" y="1367791"/>
              <a:ext cx="1828800" cy="15913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6350</xdr:colOff>
      <xdr:row>12</xdr:row>
      <xdr:rowOff>146050</xdr:rowOff>
    </xdr:from>
    <xdr:to>
      <xdr:col>17</xdr:col>
      <xdr:colOff>412750</xdr:colOff>
      <xdr:row>25</xdr:row>
      <xdr:rowOff>177800</xdr:rowOff>
    </xdr:to>
    <xdr:graphicFrame macro="">
      <xdr:nvGraphicFramePr>
        <xdr:cNvPr id="16" name="Chart 15">
          <a:extLst>
            <a:ext uri="{FF2B5EF4-FFF2-40B4-BE49-F238E27FC236}">
              <a16:creationId xmlns:a16="http://schemas.microsoft.com/office/drawing/2014/main" id="{90C5A6AB-28B8-4C2D-9B65-E640DF860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Book6.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practiceBook1.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66.528545601854" createdVersion="7" refreshedVersion="7" minRefreshableVersion="3" recordCount="12" xr:uid="{22D0B89F-577E-42A8-AC60-D73904EEA9DB}">
  <cacheSource type="worksheet">
    <worksheetSource name="Table3" r:id="rId2"/>
  </cacheSource>
  <cacheFields count="7">
    <cacheField name="Date" numFmtId="15">
      <sharedItems containsSemiMixedTypes="0" containsNonDate="0" containsDate="1" containsString="0" minDate="2026-01-05T00:00:00" maxDate="2026-03-13T00:00:00" count="12">
        <d v="2026-01-05T00:00:00"/>
        <d v="2026-01-08T00:00:00"/>
        <d v="2026-01-12T00:00:00"/>
        <d v="2026-01-18T00:00:00"/>
        <d v="2026-01-25T00:00:00"/>
        <d v="2026-02-02T00:00:00"/>
        <d v="2026-02-08T00:00:00"/>
        <d v="2026-02-15T00:00:00"/>
        <d v="2026-02-20T00:00:00"/>
        <d v="2026-02-28T00:00:00"/>
        <d v="2026-03-05T00:00:00"/>
        <d v="2026-03-12T00:00:00"/>
      </sharedItems>
      <fieldGroup par="6" base="0">
        <rangePr groupBy="days" startDate="2026-01-05T00:00:00" endDate="2026-03-13T00:00:00"/>
        <groupItems count="368">
          <s v="&lt;05-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3-03-2026"/>
        </groupItems>
      </fieldGroup>
    </cacheField>
    <cacheField name="Region" numFmtId="0">
      <sharedItems count="3">
        <s v="North"/>
        <s v="South"/>
        <s v="West"/>
      </sharedItems>
    </cacheField>
    <cacheField name="Salesperson" numFmtId="0">
      <sharedItems count="4">
        <s v="Amit"/>
        <s v="Neha"/>
        <s v="Raj"/>
        <s v="Priya"/>
      </sharedItems>
    </cacheField>
    <cacheField name="Product" numFmtId="0">
      <sharedItems count="3">
        <s v="Laptop"/>
        <s v="Monitor"/>
        <s v="Keyboard"/>
      </sharedItems>
    </cacheField>
    <cacheField name="Units" numFmtId="0">
      <sharedItems containsSemiMixedTypes="0" containsString="0" containsNumber="1" containsInteger="1" minValue="3" maxValue="20"/>
    </cacheField>
    <cacheField name="Sales" numFmtId="0">
      <sharedItems containsSemiMixedTypes="0" containsString="0" containsNumber="1" containsInteger="1" minValue="75000" maxValue="300000"/>
    </cacheField>
    <cacheField name="Months" numFmtId="0" databaseField="0">
      <fieldGroup base="0">
        <rangePr groupBy="months" startDate="2026-01-05T00:00:00" endDate="2026-03-13T00:00:00"/>
        <groupItems count="14">
          <s v="&lt;05-01-2026"/>
          <s v="Jan"/>
          <s v="Feb"/>
          <s v="Mar"/>
          <s v="Apr"/>
          <s v="May"/>
          <s v="Jun"/>
          <s v="Jul"/>
          <s v="Aug"/>
          <s v="Sep"/>
          <s v="Oct"/>
          <s v="Nov"/>
          <s v="Dec"/>
          <s v="&gt;13-03-2026"/>
        </groupItems>
      </fieldGroup>
    </cacheField>
  </cacheFields>
  <extLst>
    <ext xmlns:x14="http://schemas.microsoft.com/office/spreadsheetml/2009/9/main" uri="{725AE2AE-9491-48be-B2B4-4EB974FC3084}">
      <x14:pivotCacheDefinition pivotCacheId="152298766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61.569453240743" createdVersion="7" refreshedVersion="7" minRefreshableVersion="3" recordCount="6" xr:uid="{0A19EFFD-BE97-4CDA-A97B-AD13B722E34D}">
  <cacheSource type="worksheet">
    <worksheetSource name="Table1" r:id="rId2"/>
  </cacheSource>
  <cacheFields count="8">
    <cacheField name="Date" numFmtId="16">
      <sharedItems containsSemiMixedTypes="0" containsNonDate="0" containsDate="1" containsString="0" minDate="2026-01-01T00:00:00" maxDate="2026-01-07T00:00:00"/>
    </cacheField>
    <cacheField name="Employee" numFmtId="0">
      <sharedItems count="4">
        <s v="Amit"/>
        <s v="Neha"/>
        <s v="Raj"/>
        <s v="Priya"/>
      </sharedItems>
    </cacheField>
    <cacheField name="Department" numFmtId="0">
      <sharedItems count="2">
        <s v="Sales"/>
        <s v="IT"/>
      </sharedItems>
    </cacheField>
    <cacheField name="Product" numFmtId="0">
      <sharedItems/>
    </cacheField>
    <cacheField name="Region" numFmtId="0">
      <sharedItems/>
    </cacheField>
    <cacheField name="Sales" numFmtId="0">
      <sharedItems containsSemiMixedTypes="0" containsString="0" containsNumber="1" containsInteger="1" minValue="15000" maxValue="60000"/>
    </cacheField>
    <cacheField name="purchase" numFmtId="0">
      <sharedItems containsSemiMixedTypes="0" containsString="0" containsNumber="1" containsInteger="1" minValue="10883" maxValue="11779"/>
    </cacheField>
    <cacheField name="Profit" numFmtId="0" formula="Sales-purchase"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x v="0"/>
    <x v="0"/>
    <n v="5"/>
    <n v="250000"/>
  </r>
  <r>
    <x v="1"/>
    <x v="1"/>
    <x v="1"/>
    <x v="1"/>
    <n v="8"/>
    <n v="160000"/>
  </r>
  <r>
    <x v="2"/>
    <x v="0"/>
    <x v="2"/>
    <x v="0"/>
    <n v="4"/>
    <n v="200000"/>
  </r>
  <r>
    <x v="3"/>
    <x v="2"/>
    <x v="3"/>
    <x v="2"/>
    <n v="15"/>
    <n v="75000"/>
  </r>
  <r>
    <x v="4"/>
    <x v="1"/>
    <x v="0"/>
    <x v="0"/>
    <n v="3"/>
    <n v="150000"/>
  </r>
  <r>
    <x v="5"/>
    <x v="0"/>
    <x v="1"/>
    <x v="1"/>
    <n v="10"/>
    <n v="200000"/>
  </r>
  <r>
    <x v="6"/>
    <x v="2"/>
    <x v="2"/>
    <x v="0"/>
    <n v="6"/>
    <n v="300000"/>
  </r>
  <r>
    <x v="7"/>
    <x v="1"/>
    <x v="3"/>
    <x v="2"/>
    <n v="20"/>
    <n v="100000"/>
  </r>
  <r>
    <x v="8"/>
    <x v="0"/>
    <x v="0"/>
    <x v="1"/>
    <n v="7"/>
    <n v="140000"/>
  </r>
  <r>
    <x v="9"/>
    <x v="2"/>
    <x v="1"/>
    <x v="0"/>
    <n v="5"/>
    <n v="250000"/>
  </r>
  <r>
    <x v="10"/>
    <x v="1"/>
    <x v="2"/>
    <x v="1"/>
    <n v="9"/>
    <n v="180000"/>
  </r>
  <r>
    <x v="11"/>
    <x v="0"/>
    <x v="3"/>
    <x v="0"/>
    <n v="3"/>
    <n v="15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d v="2026-01-01T00:00:00"/>
    <x v="0"/>
    <x v="0"/>
    <s v="Laptop"/>
    <s v="North"/>
    <n v="50000"/>
    <n v="10883"/>
  </r>
  <r>
    <d v="2026-01-02T00:00:00"/>
    <x v="1"/>
    <x v="0"/>
    <s v="Monitor"/>
    <s v="South"/>
    <n v="30000"/>
    <n v="11779"/>
  </r>
  <r>
    <d v="2026-01-03T00:00:00"/>
    <x v="2"/>
    <x v="1"/>
    <s v="Laptop"/>
    <s v="North"/>
    <n v="60000"/>
    <n v="11380"/>
  </r>
  <r>
    <d v="2026-01-04T00:00:00"/>
    <x v="3"/>
    <x v="0"/>
    <s v="Keyboard"/>
    <s v="West"/>
    <n v="15000"/>
    <n v="11016"/>
  </r>
  <r>
    <d v="2026-01-05T00:00:00"/>
    <x v="0"/>
    <x v="0"/>
    <s v="Laptop"/>
    <s v="South"/>
    <n v="55000"/>
    <n v="11740"/>
  </r>
  <r>
    <d v="2026-01-06T00:00:00"/>
    <x v="2"/>
    <x v="1"/>
    <s v="Monitor"/>
    <s v="North"/>
    <n v="25000"/>
    <n v="113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2B4028-88A1-42BD-8F41-989B2EEDD7A9}" name="PivotTable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J30:K41" firstHeaderRow="1" firstDataRow="1" firstDataCol="1"/>
  <pivotFields count="7">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4">
        <item x="0"/>
        <item x="1"/>
        <item x="2"/>
        <item t="default"/>
      </items>
    </pivotField>
    <pivotField showAll="0">
      <items count="5">
        <item x="0"/>
        <item x="1"/>
        <item x="3"/>
        <item x="2"/>
        <item t="default"/>
      </items>
    </pivotField>
    <pivotField axis="axisRow" showAll="0">
      <items count="4">
        <item x="2"/>
        <item x="0"/>
        <item x="1"/>
        <item t="default"/>
      </items>
    </pivotField>
    <pivotField showAll="0"/>
    <pivotField dataField="1" showAll="0"/>
    <pivotField showAll="0" defaultSubtotal="0"/>
  </pivotFields>
  <rowFields count="2">
    <field x="1"/>
    <field x="3"/>
  </rowFields>
  <rowItems count="11">
    <i>
      <x/>
    </i>
    <i r="1">
      <x v="1"/>
    </i>
    <i r="1">
      <x v="2"/>
    </i>
    <i>
      <x v="1"/>
    </i>
    <i r="1">
      <x/>
    </i>
    <i r="1">
      <x v="1"/>
    </i>
    <i r="1">
      <x v="2"/>
    </i>
    <i>
      <x v="2"/>
    </i>
    <i r="1">
      <x/>
    </i>
    <i r="1">
      <x v="1"/>
    </i>
    <i t="grand">
      <x/>
    </i>
  </rowItems>
  <colItems count="1">
    <i/>
  </colItems>
  <dataFields count="1">
    <dataField name="Sum of Sales" fld="5" baseField="0" baseItem="0"/>
  </dataFields>
  <formats count="9">
    <format dxfId="805">
      <pivotArea type="all" dataOnly="0" outline="0" fieldPosition="0"/>
    </format>
    <format dxfId="804">
      <pivotArea outline="0" collapsedLevelsAreSubtotals="1" fieldPosition="0"/>
    </format>
    <format dxfId="803">
      <pivotArea field="1" type="button" dataOnly="0" labelOnly="1" outline="0" axis="axisRow" fieldPosition="0"/>
    </format>
    <format dxfId="802">
      <pivotArea dataOnly="0" labelOnly="1" fieldPosition="0">
        <references count="1">
          <reference field="1" count="0"/>
        </references>
      </pivotArea>
    </format>
    <format dxfId="801">
      <pivotArea dataOnly="0" labelOnly="1" grandRow="1" outline="0" fieldPosition="0"/>
    </format>
    <format dxfId="800">
      <pivotArea dataOnly="0" labelOnly="1" fieldPosition="0">
        <references count="2">
          <reference field="1" count="1" selected="0">
            <x v="0"/>
          </reference>
          <reference field="3" count="2">
            <x v="1"/>
            <x v="2"/>
          </reference>
        </references>
      </pivotArea>
    </format>
    <format dxfId="799">
      <pivotArea dataOnly="0" labelOnly="1" fieldPosition="0">
        <references count="2">
          <reference field="1" count="1" selected="0">
            <x v="1"/>
          </reference>
          <reference field="3" count="0"/>
        </references>
      </pivotArea>
    </format>
    <format dxfId="798">
      <pivotArea dataOnly="0" labelOnly="1" fieldPosition="0">
        <references count="2">
          <reference field="1" count="1" selected="0">
            <x v="2"/>
          </reference>
          <reference field="3" count="2">
            <x v="0"/>
            <x v="1"/>
          </reference>
        </references>
      </pivotArea>
    </format>
    <format dxfId="797">
      <pivotArea dataOnly="0" labelOnly="1" outline="0" axis="axisValues" fieldPosition="0"/>
    </format>
  </formats>
  <chartFormats count="3">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6ED4D2-E91D-4EC8-A19A-E45BC14DD845}" name="PivotTable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9">
  <location ref="D36:E40" firstHeaderRow="1" firstDataRow="1" firstDataCol="1"/>
  <pivotFields count="7">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4">
        <item x="0"/>
        <item x="1"/>
        <item x="2"/>
        <item t="default"/>
      </items>
    </pivotField>
    <pivotField showAll="0">
      <items count="5">
        <item x="0"/>
        <item x="1"/>
        <item x="3"/>
        <item x="2"/>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4">
    <i>
      <x v="1"/>
    </i>
    <i>
      <x v="2"/>
    </i>
    <i>
      <x v="3"/>
    </i>
    <i t="grand">
      <x/>
    </i>
  </rowItems>
  <colItems count="1">
    <i/>
  </colItems>
  <dataFields count="1">
    <dataField name="Sum of Sales" fld="5" baseField="0" baseItem="0"/>
  </dataFields>
  <formats count="6">
    <format dxfId="811">
      <pivotArea type="all" dataOnly="0" outline="0" fieldPosition="0"/>
    </format>
    <format dxfId="810">
      <pivotArea outline="0" collapsedLevelsAreSubtotals="1" fieldPosition="0"/>
    </format>
    <format dxfId="809">
      <pivotArea field="6" type="button" dataOnly="0" labelOnly="1" outline="0" axis="axisRow" fieldPosition="0"/>
    </format>
    <format dxfId="808">
      <pivotArea dataOnly="0" labelOnly="1" fieldPosition="0">
        <references count="1">
          <reference field="6" count="3">
            <x v="1"/>
            <x v="2"/>
            <x v="3"/>
          </reference>
        </references>
      </pivotArea>
    </format>
    <format dxfId="807">
      <pivotArea dataOnly="0" labelOnly="1" grandRow="1" outline="0" fieldPosition="0"/>
    </format>
    <format dxfId="806">
      <pivotArea dataOnly="0" labelOnly="1" outline="0" axis="axisValues" fieldPosition="0"/>
    </format>
  </formats>
  <chartFormats count="3">
    <chartFormat chart="5" format="1"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AC0F7C-25C2-4573-8AF7-F0AEFB16CB8E}"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9">
  <location ref="A30:B34" firstHeaderRow="1" firstDataRow="1" firstDataCol="1"/>
  <pivotFields count="7">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4">
        <item x="0"/>
        <item x="1"/>
        <item x="2"/>
        <item t="default"/>
      </items>
    </pivotField>
    <pivotField showAll="0">
      <items count="5">
        <item x="0"/>
        <item x="1"/>
        <item x="3"/>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Sum of Sales" fld="5" baseField="0" baseItem="0"/>
  </dataFields>
  <formats count="6">
    <format dxfId="817">
      <pivotArea type="all" dataOnly="0" outline="0" fieldPosition="0"/>
    </format>
    <format dxfId="816">
      <pivotArea outline="0" collapsedLevelsAreSubtotals="1" fieldPosition="0"/>
    </format>
    <format dxfId="815">
      <pivotArea field="1" type="button" dataOnly="0" labelOnly="1" outline="0" axis="axisRow" fieldPosition="0"/>
    </format>
    <format dxfId="814">
      <pivotArea dataOnly="0" labelOnly="1" fieldPosition="0">
        <references count="1">
          <reference field="1" count="0"/>
        </references>
      </pivotArea>
    </format>
    <format dxfId="813">
      <pivotArea dataOnly="0" labelOnly="1" grandRow="1" outline="0" fieldPosition="0"/>
    </format>
    <format dxfId="812">
      <pivotArea dataOnly="0" labelOnly="1" outline="0" axis="axisValues" fieldPosition="0"/>
    </format>
  </formats>
  <chartFormats count="2">
    <chartFormat chart="4"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A2A9A1-7C3B-44A1-A2E3-508DF3C9D0A0}"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2:B44" firstHeaderRow="1" firstDataRow="1" firstDataCol="1"/>
  <pivotFields count="7">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4">
        <item x="0"/>
        <item x="1"/>
        <item x="2"/>
        <item t="default"/>
      </items>
    </pivotField>
    <pivotField axis="axisRow" showAll="0">
      <items count="5">
        <item x="0"/>
        <item h="1" x="1"/>
        <item h="1" x="3"/>
        <item h="1" x="2"/>
        <item t="default"/>
      </items>
    </pivotField>
    <pivotField showAll="0"/>
    <pivotField showAll="0"/>
    <pivotField dataField="1" showAll="0"/>
    <pivotField showAll="0" defaultSubtotal="0"/>
  </pivotFields>
  <rowFields count="1">
    <field x="2"/>
  </rowFields>
  <rowItems count="2">
    <i>
      <x/>
    </i>
    <i t="grand">
      <x/>
    </i>
  </rowItems>
  <colItems count="1">
    <i/>
  </colItems>
  <dataFields count="1">
    <dataField name="Sum of Sales" fld="5" baseField="0" baseItem="0"/>
  </dataFields>
  <formats count="6">
    <format dxfId="823">
      <pivotArea type="all" dataOnly="0" outline="0" fieldPosition="0"/>
    </format>
    <format dxfId="822">
      <pivotArea outline="0" collapsedLevelsAreSubtotals="1" fieldPosition="0"/>
    </format>
    <format dxfId="821">
      <pivotArea field="2" type="button" dataOnly="0" labelOnly="1" outline="0" axis="axisRow" fieldPosition="0"/>
    </format>
    <format dxfId="820">
      <pivotArea dataOnly="0" labelOnly="1" fieldPosition="0">
        <references count="1">
          <reference field="2" count="0"/>
        </references>
      </pivotArea>
    </format>
    <format dxfId="819">
      <pivotArea dataOnly="0" labelOnly="1" grandRow="1" outline="0" fieldPosition="0"/>
    </format>
    <format dxfId="8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95F3B2-EE1D-4C69-8FE1-5C50A44760AA}"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G30:H35" firstHeaderRow="1" firstDataRow="1" firstDataCol="1"/>
  <pivotFields count="7">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4">
        <item x="0"/>
        <item x="1"/>
        <item x="2"/>
        <item t="default"/>
      </items>
    </pivotField>
    <pivotField axis="axisRow" showAll="0">
      <items count="5">
        <item x="0"/>
        <item x="1"/>
        <item x="3"/>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Sales" fld="5" baseField="0" baseItem="0"/>
  </dataFields>
  <formats count="6">
    <format dxfId="829">
      <pivotArea type="all" dataOnly="0" outline="0" fieldPosition="0"/>
    </format>
    <format dxfId="828">
      <pivotArea outline="0" collapsedLevelsAreSubtotals="1" fieldPosition="0"/>
    </format>
    <format dxfId="827">
      <pivotArea field="2" type="button" dataOnly="0" labelOnly="1" outline="0" axis="axisRow" fieldPosition="0"/>
    </format>
    <format dxfId="826">
      <pivotArea dataOnly="0" labelOnly="1" fieldPosition="0">
        <references count="1">
          <reference field="2" count="0"/>
        </references>
      </pivotArea>
    </format>
    <format dxfId="825">
      <pivotArea dataOnly="0" labelOnly="1" grandRow="1" outline="0" fieldPosition="0"/>
    </format>
    <format dxfId="824">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D668E9-5AE4-4BFD-8710-3CB2214405F1}"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42:E46" firstHeaderRow="1" firstDataRow="1" firstDataCol="1"/>
  <pivotFields count="7">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4">
        <item x="0"/>
        <item x="1"/>
        <item x="2"/>
        <item t="default"/>
      </items>
    </pivotField>
    <pivotField showAll="0">
      <items count="5">
        <item x="0"/>
        <item x="1"/>
        <item x="3"/>
        <item x="2"/>
        <item t="default"/>
      </items>
    </pivotField>
    <pivotField showAll="0"/>
    <pivotField showAll="0"/>
    <pivotField dataField="1" showAll="0"/>
    <pivotField showAll="0" defaultSubtotal="0"/>
  </pivotFields>
  <rowFields count="1">
    <field x="1"/>
  </rowFields>
  <rowItems count="4">
    <i>
      <x/>
    </i>
    <i>
      <x v="1"/>
    </i>
    <i>
      <x v="2"/>
    </i>
    <i t="grand">
      <x/>
    </i>
  </rowItems>
  <colItems count="1">
    <i/>
  </colItems>
  <dataFields count="1">
    <dataField name="Sum of Sales" fld="5" baseField="0" baseItem="0"/>
  </dataFields>
  <formats count="6">
    <format dxfId="835">
      <pivotArea type="all" dataOnly="0" outline="0" fieldPosition="0"/>
    </format>
    <format dxfId="834">
      <pivotArea outline="0" collapsedLevelsAreSubtotals="1" fieldPosition="0"/>
    </format>
    <format dxfId="833">
      <pivotArea field="1" type="button" dataOnly="0" labelOnly="1" outline="0" axis="axisRow" fieldPosition="0"/>
    </format>
    <format dxfId="832">
      <pivotArea dataOnly="0" labelOnly="1" fieldPosition="0">
        <references count="1">
          <reference field="1" count="0"/>
        </references>
      </pivotArea>
    </format>
    <format dxfId="831">
      <pivotArea dataOnly="0" labelOnly="1" grandRow="1" outline="0" fieldPosition="0"/>
    </format>
    <format dxfId="8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9B5670-B9F1-4940-9508-AE13A2E0AB91}" name="PivotTable2" cacheId="1"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9:E14" firstHeaderRow="0" firstDataRow="1" firstDataCol="2"/>
  <pivotFields count="8">
    <pivotField compact="0" numFmtId="16" outline="0" showAll="0" defaultSubtotal="0"/>
    <pivotField axis="axisRow" compact="0" outline="0" showAll="0" defaultSubtotal="0">
      <items count="4">
        <item x="0"/>
        <item x="1"/>
        <item x="3"/>
        <item x="2"/>
      </items>
    </pivotField>
    <pivotField axis="axisRow" compact="0" outline="0" showAll="0" defaultSubtotal="0">
      <items count="2">
        <item x="1"/>
        <item x="0"/>
      </items>
    </pivotField>
    <pivotField compact="0" outline="0" showAll="0" defaultSubtotal="0"/>
    <pivotField compact="0" outline="0" showAll="0" defaultSubtotal="0"/>
    <pivotField dataField="1" compact="0" outline="0" showAll="0" defaultSubtotal="0"/>
    <pivotField dataField="1" compact="0" outline="0" showAll="0" defaultSubtotal="0"/>
    <pivotField dataField="1" compact="0" outline="0" dragToRow="0" dragToCol="0" dragToPage="0" showAll="0" defaultSubtotal="0"/>
  </pivotFields>
  <rowFields count="2">
    <field x="2"/>
    <field x="1"/>
  </rowFields>
  <rowItems count="5">
    <i>
      <x/>
      <x v="3"/>
    </i>
    <i>
      <x v="1"/>
      <x/>
    </i>
    <i r="1">
      <x v="1"/>
    </i>
    <i r="1">
      <x v="2"/>
    </i>
    <i t="grand">
      <x/>
    </i>
  </rowItems>
  <colFields count="1">
    <field x="-2"/>
  </colFields>
  <colItems count="3">
    <i>
      <x/>
    </i>
    <i i="1">
      <x v="1"/>
    </i>
    <i i="2">
      <x v="2"/>
    </i>
  </colItems>
  <dataFields count="3">
    <dataField name="Sum of Sales" fld="5" baseField="0" baseItem="0"/>
    <dataField name="Sum of purchase" fld="6" baseField="0" baseItem="0"/>
    <dataField name="Sum of Profit" fld="7" baseField="0" baseItem="0"/>
  </dataFields>
  <formats count="9">
    <format dxfId="844">
      <pivotArea type="all" dataOnly="0" outline="0" fieldPosition="0"/>
    </format>
    <format dxfId="843">
      <pivotArea outline="0" collapsedLevelsAreSubtotals="1" fieldPosition="0"/>
    </format>
    <format dxfId="842">
      <pivotArea field="2" type="button" dataOnly="0" labelOnly="1" outline="0" axis="axisRow" fieldPosition="0"/>
    </format>
    <format dxfId="841">
      <pivotArea field="1" type="button" dataOnly="0" labelOnly="1" outline="0" axis="axisRow" fieldPosition="1"/>
    </format>
    <format dxfId="840">
      <pivotArea dataOnly="0" labelOnly="1" outline="0" fieldPosition="0">
        <references count="1">
          <reference field="2" count="0"/>
        </references>
      </pivotArea>
    </format>
    <format dxfId="839">
      <pivotArea dataOnly="0" labelOnly="1" grandRow="1" outline="0" fieldPosition="0"/>
    </format>
    <format dxfId="838">
      <pivotArea dataOnly="0" labelOnly="1" outline="0" fieldPosition="0">
        <references count="2">
          <reference field="1" count="1">
            <x v="3"/>
          </reference>
          <reference field="2" count="1" selected="0">
            <x v="0"/>
          </reference>
        </references>
      </pivotArea>
    </format>
    <format dxfId="837">
      <pivotArea dataOnly="0" labelOnly="1" outline="0" fieldPosition="0">
        <references count="2">
          <reference field="1" count="3">
            <x v="0"/>
            <x v="1"/>
            <x v="2"/>
          </reference>
          <reference field="2" count="1" selected="0">
            <x v="1"/>
          </reference>
        </references>
      </pivotArea>
    </format>
    <format dxfId="836">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8A670D-B153-4844-9C64-3FBC05BB56C0}"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6:B40" firstHeaderRow="1" firstDataRow="1" firstDataCol="1"/>
  <pivotFields count="7">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4">
        <item x="0"/>
        <item x="1"/>
        <item x="2"/>
        <item t="default"/>
      </items>
    </pivotField>
    <pivotField showAll="0">
      <items count="5">
        <item x="0"/>
        <item x="1"/>
        <item x="3"/>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Average of Sales" fld="5" subtotal="average" baseField="1" baseItem="0"/>
  </dataFields>
  <formats count="6">
    <format dxfId="850">
      <pivotArea type="all" dataOnly="0" outline="0" fieldPosition="0"/>
    </format>
    <format dxfId="849">
      <pivotArea outline="0" collapsedLevelsAreSubtotals="1" fieldPosition="0"/>
    </format>
    <format dxfId="848">
      <pivotArea field="1" type="button" dataOnly="0" labelOnly="1" outline="0" axis="axisRow" fieldPosition="0"/>
    </format>
    <format dxfId="847">
      <pivotArea dataOnly="0" labelOnly="1" fieldPosition="0">
        <references count="1">
          <reference field="1" count="0"/>
        </references>
      </pivotArea>
    </format>
    <format dxfId="846">
      <pivotArea dataOnly="0" labelOnly="1" grandRow="1" outline="0" fieldPosition="0"/>
    </format>
    <format dxfId="8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5340214-51F6-41BC-8881-39F377ACE428}"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D30:E34" firstHeaderRow="1" firstDataRow="1" firstDataCol="1"/>
  <pivotFields count="7">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4">
        <item x="0"/>
        <item x="1"/>
        <item x="2"/>
        <item t="default"/>
      </items>
    </pivotField>
    <pivotField showAll="0">
      <items count="5">
        <item x="0"/>
        <item x="1"/>
        <item x="3"/>
        <item x="2"/>
        <item t="default"/>
      </items>
    </pivotField>
    <pivotField axis="axisRow" showAll="0">
      <items count="4">
        <item x="2"/>
        <item x="0"/>
        <item x="1"/>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Items count="1">
    <i/>
  </colItems>
  <dataFields count="1">
    <dataField name="Sum of Sales" fld="5" baseField="0" baseItem="0"/>
  </dataFields>
  <formats count="6">
    <format dxfId="856">
      <pivotArea type="all" dataOnly="0" outline="0" fieldPosition="0"/>
    </format>
    <format dxfId="855">
      <pivotArea outline="0" collapsedLevelsAreSubtotals="1" fieldPosition="0"/>
    </format>
    <format dxfId="854">
      <pivotArea field="3" type="button" dataOnly="0" labelOnly="1" outline="0" axis="axisRow" fieldPosition="0"/>
    </format>
    <format dxfId="853">
      <pivotArea dataOnly="0" labelOnly="1" fieldPosition="0">
        <references count="1">
          <reference field="3" count="0"/>
        </references>
      </pivotArea>
    </format>
    <format dxfId="852">
      <pivotArea dataOnly="0" labelOnly="1" grandRow="1" outline="0" fieldPosition="0"/>
    </format>
    <format dxfId="851">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8E7F619-3931-4BBC-8FAE-153170F9A33A}"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G37:H41" firstHeaderRow="1" firstDataRow="1" firstDataCol="1"/>
  <pivotFields count="7">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4">
        <item x="0"/>
        <item x="1"/>
        <item x="2"/>
        <item t="default"/>
      </items>
    </pivotField>
    <pivotField showAll="0">
      <items count="5">
        <item x="0"/>
        <item x="1"/>
        <item x="3"/>
        <item x="2"/>
        <item t="default"/>
      </items>
    </pivotField>
    <pivotField axis="axisRow" showAll="0">
      <items count="4">
        <item x="2"/>
        <item x="0"/>
        <item x="1"/>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Items count="1">
    <i/>
  </colItems>
  <dataFields count="1">
    <dataField name="Sum of Units" fld="4" baseField="0" baseItem="0"/>
  </dataFields>
  <formats count="6">
    <format dxfId="862">
      <pivotArea type="all" dataOnly="0" outline="0" fieldPosition="0"/>
    </format>
    <format dxfId="861">
      <pivotArea outline="0" collapsedLevelsAreSubtotals="1" fieldPosition="0"/>
    </format>
    <format dxfId="860">
      <pivotArea field="3" type="button" dataOnly="0" labelOnly="1" outline="0" axis="axisRow" fieldPosition="0"/>
    </format>
    <format dxfId="859">
      <pivotArea dataOnly="0" labelOnly="1" fieldPosition="0">
        <references count="1">
          <reference field="3" count="0"/>
        </references>
      </pivotArea>
    </format>
    <format dxfId="858">
      <pivotArea dataOnly="0" labelOnly="1" grandRow="1" outline="0" fieldPosition="0"/>
    </format>
    <format dxfId="857">
      <pivotArea dataOnly="0" labelOnly="1" outline="0" axis="axisValues" fieldPosition="0"/>
    </format>
  </formats>
  <chartFormats count="5">
    <chartFormat chart="3"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3" count="1" selected="0">
            <x v="0"/>
          </reference>
        </references>
      </pivotArea>
    </chartFormat>
    <chartFormat chart="5" format="7">
      <pivotArea type="data" outline="0" fieldPosition="0">
        <references count="2">
          <reference field="4294967294" count="1" selected="0">
            <x v="0"/>
          </reference>
          <reference field="3" count="1" selected="0">
            <x v="1"/>
          </reference>
        </references>
      </pivotArea>
    </chartFormat>
    <chartFormat chart="5"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406FDDB-9060-4058-8E84-52AA2EEDBEA2}" sourceName="Region">
  <pivotTables>
    <pivotTable tabId="3" name="PivotTable9"/>
    <pivotTable tabId="3" name="PivotTable8"/>
    <pivotTable tabId="3" name="PivotTable7"/>
    <pivotTable tabId="3" name="PivotTable6"/>
    <pivotTable tabId="3" name="PivotTable5"/>
    <pivotTable tabId="3" name="PivotTable4"/>
    <pivotTable tabId="3" name="PivotTable3"/>
    <pivotTable tabId="3" name="PivotTable10"/>
    <pivotTable tabId="3" name="PivotTable1"/>
  </pivotTables>
  <data>
    <tabular pivotCacheId="152298766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37E81D0E-C179-4C33-AC49-18C0ED581410}" sourceName="Salesperson">
  <pivotTables>
    <pivotTable tabId="3" name="PivotTable4"/>
    <pivotTable tabId="3" name="PivotTable1"/>
    <pivotTable tabId="3" name="PivotTable3"/>
    <pivotTable tabId="3" name="PivotTable7"/>
    <pivotTable tabId="3" name="PivotTable8"/>
  </pivotTables>
  <data>
    <tabular pivotCacheId="1522987667">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258986E-9A6F-4A2E-A7F9-784FAC8BC4BA}" cache="Slicer_Region" caption="Region" rowHeight="234950"/>
  <slicer name="Salesperson" xr10:uid="{AD9EE3D7-19AD-40A4-B3A0-B0181E422AC6}" cache="Slicer_Salesperson" caption="Salespers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29DDF1-2818-437F-9C1B-9B3182B60CD7}" name="Table13" displayName="Table13" ref="A1:G7" totalsRowShown="0" headerRowDxfId="796" headerRowBorderDxfId="795" tableBorderDxfId="794" totalsRowBorderDxfId="793">
  <autoFilter ref="A1:G7" xr:uid="{9EF9D298-862C-46A5-B810-5DBC8D716D65}"/>
  <tableColumns count="7">
    <tableColumn id="1" xr3:uid="{16A27D85-0FC9-4FA9-A031-1C294E45068B}" name="Date" dataDxfId="792"/>
    <tableColumn id="2" xr3:uid="{270E7BC1-2C96-47F7-B5FA-98530133DE24}" name="Employee"/>
    <tableColumn id="3" xr3:uid="{041D26DC-0EC9-40D0-A030-41D4088D677A}" name="Department"/>
    <tableColumn id="4" xr3:uid="{EB06EE62-C62D-4B31-A532-F4977199F2D4}" name="Product"/>
    <tableColumn id="5" xr3:uid="{CD4D1CB4-C560-455F-9048-5E56D8B70DDE}" name="Region"/>
    <tableColumn id="6" xr3:uid="{FE5603D3-496D-44CF-830C-6963F070BCF4}" name="Sales"/>
    <tableColumn id="7" xr3:uid="{FD7F45EA-22F3-4E65-A7FA-9FFC6A08E1BC}" name="purchase" dataDxfId="79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C0E979-CE16-4850-A74E-DFB9A69EACA4}" name="Table3" displayName="Table3" ref="A16:F28" totalsRowShown="0" headerRowDxfId="790" headerRowBorderDxfId="789" tableBorderDxfId="788" totalsRowBorderDxfId="787">
  <autoFilter ref="A16:F28" xr:uid="{56EA7DDF-2F54-490C-B2B0-CDDD8569CEF0}"/>
  <tableColumns count="6">
    <tableColumn id="1" xr3:uid="{158908D7-5877-41F9-A5E1-0701D9DE8789}" name="Date" dataDxfId="786"/>
    <tableColumn id="2" xr3:uid="{CAD98EEF-E85A-404D-82E9-DD75151CDE39}" name="Region"/>
    <tableColumn id="3" xr3:uid="{37D2C3B0-E071-408C-9646-E6D1A32E39DB}" name="Salesperson"/>
    <tableColumn id="4" xr3:uid="{F68912A6-1ED0-416E-8088-270BB658B78E}" name="Product"/>
    <tableColumn id="5" xr3:uid="{09A66BB9-DCCA-4C3F-9E1B-9526690CF910}" name="Units"/>
    <tableColumn id="6" xr3:uid="{7729B958-A1F0-4B0C-8A0B-D7A6BD45B51A}"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2847022-C447-4EF6-B95B-EB269CB0DBFB}" sourceName="Date">
  <pivotTables>
    <pivotTable tabId="3" name="PivotTable1"/>
    <pivotTable tabId="3" name="PivotTable5"/>
    <pivotTable tabId="3" name="PivotTable4"/>
    <pivotTable tabId="3" name="PivotTable8"/>
    <pivotTable tabId="3" name="PivotTable7"/>
  </pivotTables>
  <state minimalRefreshVersion="6" lastRefreshVersion="6" pivotCacheId="1522987667"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2D05531-908B-42D4-B9E7-D798B51B0E4A}" cache="NativeTimeline_Date" caption="Date" level="2" selectionLevel="2" scrollPosition="2026-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AC7C9625-B1B8-40F5-95CD-99107CE19E34}" cache="NativeTimeline_Date" caption="Date" level="2" selectionLevel="2" scrollPosition="2026-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5" Type="http://schemas.microsoft.com/office/2011/relationships/timeline" Target="../timelines/timeline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1/relationships/timeline" Target="../timelines/timeline2.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9AD3E-8A4B-4F39-9AF7-E3B82A9AEFD5}">
  <sheetPr codeName="Sheet1"/>
  <dimension ref="A1:K46"/>
  <sheetViews>
    <sheetView topLeftCell="A26" workbookViewId="0">
      <selection activeCell="K30" sqref="K30"/>
    </sheetView>
  </sheetViews>
  <sheetFormatPr defaultRowHeight="14.4" x14ac:dyDescent="0.3"/>
  <cols>
    <col min="1" max="1" width="12.5546875" bestFit="1" customWidth="1"/>
    <col min="2" max="2" width="11.6640625" bestFit="1" customWidth="1"/>
    <col min="3" max="3" width="13.33203125" bestFit="1" customWidth="1"/>
    <col min="4" max="4" width="12.5546875" bestFit="1" customWidth="1"/>
    <col min="5" max="6" width="11.6640625" bestFit="1" customWidth="1"/>
    <col min="7" max="7" width="12.5546875" bestFit="1" customWidth="1"/>
    <col min="8" max="8" width="11.6640625" bestFit="1" customWidth="1"/>
    <col min="9" max="9" width="15" customWidth="1"/>
    <col min="10" max="10" width="12.6640625" bestFit="1" customWidth="1"/>
    <col min="11" max="11" width="11.6640625" bestFit="1" customWidth="1"/>
  </cols>
  <sheetData>
    <row r="1" spans="1:9" x14ac:dyDescent="0.3">
      <c r="A1" t="s">
        <v>25</v>
      </c>
      <c r="B1" t="s">
        <v>29</v>
      </c>
      <c r="C1" t="s">
        <v>30</v>
      </c>
      <c r="D1" t="s">
        <v>22</v>
      </c>
      <c r="E1" t="s">
        <v>24</v>
      </c>
      <c r="F1" t="s">
        <v>20</v>
      </c>
      <c r="G1" t="s">
        <v>31</v>
      </c>
    </row>
    <row r="2" spans="1:9" x14ac:dyDescent="0.3">
      <c r="A2" s="3">
        <v>46023</v>
      </c>
      <c r="B2" t="s">
        <v>8</v>
      </c>
      <c r="C2" t="s">
        <v>20</v>
      </c>
      <c r="D2" t="s">
        <v>11</v>
      </c>
      <c r="E2" t="s">
        <v>7</v>
      </c>
      <c r="F2">
        <v>50000</v>
      </c>
      <c r="G2">
        <v>10883</v>
      </c>
    </row>
    <row r="3" spans="1:9" x14ac:dyDescent="0.3">
      <c r="A3" s="3">
        <v>46024</v>
      </c>
      <c r="B3" t="s">
        <v>6</v>
      </c>
      <c r="C3" t="s">
        <v>20</v>
      </c>
      <c r="D3" t="s">
        <v>12</v>
      </c>
      <c r="E3" t="s">
        <v>5</v>
      </c>
      <c r="F3">
        <v>30000</v>
      </c>
      <c r="G3">
        <v>11779</v>
      </c>
    </row>
    <row r="4" spans="1:9" x14ac:dyDescent="0.3">
      <c r="A4" s="3">
        <v>46025</v>
      </c>
      <c r="B4" t="s">
        <v>2</v>
      </c>
      <c r="C4" t="s">
        <v>26</v>
      </c>
      <c r="D4" t="s">
        <v>11</v>
      </c>
      <c r="E4" t="s">
        <v>7</v>
      </c>
      <c r="F4">
        <v>60000</v>
      </c>
      <c r="G4">
        <v>11380</v>
      </c>
    </row>
    <row r="5" spans="1:9" x14ac:dyDescent="0.3">
      <c r="A5" s="3">
        <v>46026</v>
      </c>
      <c r="B5" t="s">
        <v>4</v>
      </c>
      <c r="C5" t="s">
        <v>20</v>
      </c>
      <c r="D5" t="s">
        <v>13</v>
      </c>
      <c r="E5" t="s">
        <v>3</v>
      </c>
      <c r="F5">
        <v>15000</v>
      </c>
      <c r="G5">
        <v>11016</v>
      </c>
    </row>
    <row r="6" spans="1:9" x14ac:dyDescent="0.3">
      <c r="A6" s="3">
        <v>46027</v>
      </c>
      <c r="B6" t="s">
        <v>8</v>
      </c>
      <c r="C6" t="s">
        <v>20</v>
      </c>
      <c r="D6" t="s">
        <v>11</v>
      </c>
      <c r="E6" t="s">
        <v>5</v>
      </c>
      <c r="F6">
        <v>55000</v>
      </c>
      <c r="G6">
        <v>11740</v>
      </c>
    </row>
    <row r="7" spans="1:9" x14ac:dyDescent="0.3">
      <c r="A7" s="3">
        <v>46028</v>
      </c>
      <c r="B7" t="s">
        <v>2</v>
      </c>
      <c r="C7" t="s">
        <v>26</v>
      </c>
      <c r="D7" t="s">
        <v>12</v>
      </c>
      <c r="E7" t="s">
        <v>7</v>
      </c>
      <c r="F7">
        <v>25000</v>
      </c>
      <c r="G7">
        <v>11313</v>
      </c>
    </row>
    <row r="9" spans="1:9" x14ac:dyDescent="0.3">
      <c r="A9" s="1" t="s">
        <v>30</v>
      </c>
      <c r="B9" s="1" t="s">
        <v>29</v>
      </c>
      <c r="C9" s="1" t="s">
        <v>9</v>
      </c>
      <c r="D9" t="s">
        <v>28</v>
      </c>
      <c r="E9" t="s">
        <v>27</v>
      </c>
    </row>
    <row r="10" spans="1:9" x14ac:dyDescent="0.3">
      <c r="A10" t="s">
        <v>26</v>
      </c>
      <c r="B10" t="s">
        <v>2</v>
      </c>
      <c r="C10">
        <v>85000</v>
      </c>
      <c r="D10">
        <v>22693</v>
      </c>
      <c r="E10">
        <v>62307</v>
      </c>
    </row>
    <row r="11" spans="1:9" x14ac:dyDescent="0.3">
      <c r="A11" t="s">
        <v>20</v>
      </c>
      <c r="B11" t="s">
        <v>8</v>
      </c>
      <c r="C11">
        <v>105000</v>
      </c>
      <c r="D11">
        <v>22623</v>
      </c>
      <c r="E11">
        <v>82377</v>
      </c>
    </row>
    <row r="12" spans="1:9" x14ac:dyDescent="0.3">
      <c r="B12" t="s">
        <v>6</v>
      </c>
      <c r="C12">
        <v>30000</v>
      </c>
      <c r="D12">
        <v>11779</v>
      </c>
      <c r="E12">
        <v>18221</v>
      </c>
    </row>
    <row r="13" spans="1:9" x14ac:dyDescent="0.3">
      <c r="B13" t="s">
        <v>4</v>
      </c>
      <c r="C13">
        <v>15000</v>
      </c>
      <c r="D13">
        <v>11016</v>
      </c>
      <c r="E13">
        <v>3984</v>
      </c>
    </row>
    <row r="14" spans="1:9" x14ac:dyDescent="0.3">
      <c r="A14" t="s">
        <v>1</v>
      </c>
      <c r="C14">
        <v>235000</v>
      </c>
      <c r="D14">
        <v>68111</v>
      </c>
      <c r="E14">
        <v>166889</v>
      </c>
    </row>
    <row r="15" spans="1:9" x14ac:dyDescent="0.3">
      <c r="G15">
        <f>SUM(Table3[Sales])</f>
        <v>2955000</v>
      </c>
      <c r="I15">
        <f>AVERAGE(Table3[Sales])</f>
        <v>246250</v>
      </c>
    </row>
    <row r="16" spans="1:9" x14ac:dyDescent="0.3">
      <c r="A16" t="s">
        <v>25</v>
      </c>
      <c r="B16" t="s">
        <v>24</v>
      </c>
      <c r="C16" t="s">
        <v>23</v>
      </c>
      <c r="D16" t="s">
        <v>22</v>
      </c>
      <c r="E16" t="s">
        <v>21</v>
      </c>
      <c r="F16" t="s">
        <v>20</v>
      </c>
    </row>
    <row r="17" spans="1:11" ht="25.8" x14ac:dyDescent="0.5">
      <c r="A17" s="2">
        <v>46027</v>
      </c>
      <c r="B17" t="s">
        <v>7</v>
      </c>
      <c r="C17" t="s">
        <v>8</v>
      </c>
      <c r="D17" t="s">
        <v>11</v>
      </c>
      <c r="E17">
        <v>5</v>
      </c>
      <c r="F17">
        <v>250000</v>
      </c>
      <c r="H17" s="9" t="s">
        <v>19</v>
      </c>
      <c r="I17" s="9"/>
      <c r="J17" s="9" t="s">
        <v>18</v>
      </c>
      <c r="K17" s="9"/>
    </row>
    <row r="18" spans="1:11" x14ac:dyDescent="0.3">
      <c r="A18" s="2">
        <v>46030</v>
      </c>
      <c r="B18" t="s">
        <v>5</v>
      </c>
      <c r="C18" t="s">
        <v>6</v>
      </c>
      <c r="D18" t="s">
        <v>12</v>
      </c>
      <c r="E18">
        <v>8</v>
      </c>
      <c r="F18">
        <v>160000</v>
      </c>
      <c r="J18">
        <f>$I$15</f>
        <v>246250</v>
      </c>
    </row>
    <row r="19" spans="1:11" x14ac:dyDescent="0.3">
      <c r="A19" s="2">
        <v>46034</v>
      </c>
      <c r="B19" t="s">
        <v>7</v>
      </c>
      <c r="C19" t="s">
        <v>2</v>
      </c>
      <c r="D19" t="s">
        <v>11</v>
      </c>
      <c r="E19">
        <v>4</v>
      </c>
      <c r="F19">
        <v>200000</v>
      </c>
    </row>
    <row r="20" spans="1:11" x14ac:dyDescent="0.3">
      <c r="A20" s="2">
        <v>46040</v>
      </c>
      <c r="B20" t="s">
        <v>3</v>
      </c>
      <c r="C20" t="s">
        <v>4</v>
      </c>
      <c r="D20" t="s">
        <v>13</v>
      </c>
      <c r="E20">
        <v>15</v>
      </c>
      <c r="F20">
        <v>75000</v>
      </c>
    </row>
    <row r="21" spans="1:11" x14ac:dyDescent="0.3">
      <c r="A21" s="2">
        <v>46047</v>
      </c>
      <c r="B21" t="s">
        <v>5</v>
      </c>
      <c r="C21" t="s">
        <v>8</v>
      </c>
      <c r="D21" t="s">
        <v>11</v>
      </c>
      <c r="E21">
        <v>3</v>
      </c>
      <c r="F21">
        <v>150000</v>
      </c>
    </row>
    <row r="22" spans="1:11" x14ac:dyDescent="0.3">
      <c r="A22" s="2">
        <v>46055</v>
      </c>
      <c r="B22" t="s">
        <v>7</v>
      </c>
      <c r="C22" t="s">
        <v>6</v>
      </c>
      <c r="D22" t="s">
        <v>12</v>
      </c>
      <c r="E22">
        <v>10</v>
      </c>
      <c r="F22">
        <v>1000000</v>
      </c>
    </row>
    <row r="23" spans="1:11" x14ac:dyDescent="0.3">
      <c r="A23" s="2">
        <v>46061</v>
      </c>
      <c r="B23" t="s">
        <v>3</v>
      </c>
      <c r="C23" t="s">
        <v>2</v>
      </c>
      <c r="D23" t="s">
        <v>11</v>
      </c>
      <c r="E23">
        <v>6</v>
      </c>
      <c r="F23">
        <v>300000</v>
      </c>
    </row>
    <row r="24" spans="1:11" x14ac:dyDescent="0.3">
      <c r="A24" s="2">
        <v>46068</v>
      </c>
      <c r="B24" t="s">
        <v>5</v>
      </c>
      <c r="C24" t="s">
        <v>4</v>
      </c>
      <c r="D24" t="s">
        <v>13</v>
      </c>
      <c r="E24">
        <v>20</v>
      </c>
      <c r="F24">
        <v>100000</v>
      </c>
    </row>
    <row r="25" spans="1:11" ht="15.6" customHeight="1" x14ac:dyDescent="0.3">
      <c r="A25" s="2">
        <v>46073</v>
      </c>
      <c r="B25" t="s">
        <v>7</v>
      </c>
      <c r="C25" t="s">
        <v>8</v>
      </c>
      <c r="D25" t="s">
        <v>12</v>
      </c>
      <c r="E25">
        <v>7</v>
      </c>
      <c r="F25">
        <v>140000</v>
      </c>
    </row>
    <row r="26" spans="1:11" x14ac:dyDescent="0.3">
      <c r="A26" s="2">
        <v>46081</v>
      </c>
      <c r="B26" t="s">
        <v>3</v>
      </c>
      <c r="C26" t="s">
        <v>6</v>
      </c>
      <c r="D26" t="s">
        <v>11</v>
      </c>
      <c r="E26">
        <v>5</v>
      </c>
      <c r="F26">
        <v>250000</v>
      </c>
    </row>
    <row r="27" spans="1:11" x14ac:dyDescent="0.3">
      <c r="A27" s="2">
        <v>46086</v>
      </c>
      <c r="B27" t="s">
        <v>5</v>
      </c>
      <c r="C27" t="s">
        <v>2</v>
      </c>
      <c r="D27" t="s">
        <v>12</v>
      </c>
      <c r="E27">
        <v>9</v>
      </c>
      <c r="F27">
        <v>180000</v>
      </c>
    </row>
    <row r="28" spans="1:11" x14ac:dyDescent="0.3">
      <c r="A28" s="2">
        <v>46093</v>
      </c>
      <c r="B28" t="s">
        <v>7</v>
      </c>
      <c r="C28" t="s">
        <v>4</v>
      </c>
      <c r="D28" t="s">
        <v>11</v>
      </c>
      <c r="E28">
        <v>3</v>
      </c>
      <c r="F28">
        <v>150000</v>
      </c>
    </row>
    <row r="30" spans="1:11" x14ac:dyDescent="0.3">
      <c r="A30" s="4" t="s">
        <v>10</v>
      </c>
      <c r="B30" s="5" t="s">
        <v>9</v>
      </c>
      <c r="D30" s="4" t="s">
        <v>10</v>
      </c>
      <c r="E30" s="5" t="s">
        <v>9</v>
      </c>
      <c r="G30" s="4" t="s">
        <v>10</v>
      </c>
      <c r="H30" s="5" t="s">
        <v>9</v>
      </c>
      <c r="J30" s="4" t="s">
        <v>10</v>
      </c>
      <c r="K30" s="5" t="s">
        <v>9</v>
      </c>
    </row>
    <row r="31" spans="1:11" x14ac:dyDescent="0.3">
      <c r="A31" s="6" t="s">
        <v>7</v>
      </c>
      <c r="B31" s="7">
        <v>940000</v>
      </c>
      <c r="D31" s="6" t="s">
        <v>13</v>
      </c>
      <c r="E31" s="7">
        <v>175000</v>
      </c>
      <c r="G31" s="6" t="s">
        <v>8</v>
      </c>
      <c r="H31" s="7">
        <v>540000</v>
      </c>
      <c r="J31" s="6" t="s">
        <v>7</v>
      </c>
      <c r="K31" s="7">
        <v>940000</v>
      </c>
    </row>
    <row r="32" spans="1:11" x14ac:dyDescent="0.3">
      <c r="A32" s="6" t="s">
        <v>5</v>
      </c>
      <c r="B32" s="7">
        <v>590000</v>
      </c>
      <c r="D32" s="6" t="s">
        <v>11</v>
      </c>
      <c r="E32" s="7">
        <v>1300000</v>
      </c>
      <c r="G32" s="6" t="s">
        <v>6</v>
      </c>
      <c r="H32" s="7">
        <v>610000</v>
      </c>
      <c r="J32" s="8" t="s">
        <v>11</v>
      </c>
      <c r="K32" s="7">
        <v>600000</v>
      </c>
    </row>
    <row r="33" spans="1:11" x14ac:dyDescent="0.3">
      <c r="A33" s="6" t="s">
        <v>3</v>
      </c>
      <c r="B33" s="7">
        <v>625000</v>
      </c>
      <c r="D33" s="6" t="s">
        <v>12</v>
      </c>
      <c r="E33" s="7">
        <v>680000</v>
      </c>
      <c r="G33" s="6" t="s">
        <v>4</v>
      </c>
      <c r="H33" s="7">
        <v>325000</v>
      </c>
      <c r="J33" s="8" t="s">
        <v>12</v>
      </c>
      <c r="K33" s="7">
        <v>340000</v>
      </c>
    </row>
    <row r="34" spans="1:11" x14ac:dyDescent="0.3">
      <c r="A34" s="6" t="s">
        <v>1</v>
      </c>
      <c r="B34" s="7">
        <v>2155000</v>
      </c>
      <c r="D34" s="6" t="s">
        <v>1</v>
      </c>
      <c r="E34" s="7">
        <v>2155000</v>
      </c>
      <c r="G34" s="6" t="s">
        <v>2</v>
      </c>
      <c r="H34" s="7">
        <v>680000</v>
      </c>
      <c r="J34" s="6" t="s">
        <v>5</v>
      </c>
      <c r="K34" s="7">
        <v>590000</v>
      </c>
    </row>
    <row r="35" spans="1:11" x14ac:dyDescent="0.3">
      <c r="G35" s="6" t="s">
        <v>1</v>
      </c>
      <c r="H35" s="7">
        <v>2155000</v>
      </c>
      <c r="J35" s="8" t="s">
        <v>13</v>
      </c>
      <c r="K35" s="7">
        <v>100000</v>
      </c>
    </row>
    <row r="36" spans="1:11" x14ac:dyDescent="0.3">
      <c r="A36" s="4" t="s">
        <v>10</v>
      </c>
      <c r="B36" s="5" t="s">
        <v>17</v>
      </c>
      <c r="D36" s="4" t="s">
        <v>10</v>
      </c>
      <c r="E36" s="5" t="s">
        <v>9</v>
      </c>
      <c r="J36" s="8" t="s">
        <v>11</v>
      </c>
      <c r="K36" s="7">
        <v>150000</v>
      </c>
    </row>
    <row r="37" spans="1:11" x14ac:dyDescent="0.3">
      <c r="A37" s="6" t="s">
        <v>7</v>
      </c>
      <c r="B37" s="7">
        <v>188000</v>
      </c>
      <c r="D37" s="6" t="s">
        <v>16</v>
      </c>
      <c r="E37" s="7">
        <v>835000</v>
      </c>
      <c r="G37" s="4" t="s">
        <v>10</v>
      </c>
      <c r="H37" s="5" t="s">
        <v>15</v>
      </c>
      <c r="J37" s="8" t="s">
        <v>12</v>
      </c>
      <c r="K37" s="7">
        <v>340000</v>
      </c>
    </row>
    <row r="38" spans="1:11" x14ac:dyDescent="0.3">
      <c r="A38" s="6" t="s">
        <v>5</v>
      </c>
      <c r="B38" s="7">
        <v>147500</v>
      </c>
      <c r="D38" s="6" t="s">
        <v>14</v>
      </c>
      <c r="E38" s="7">
        <v>990000</v>
      </c>
      <c r="G38" s="6" t="s">
        <v>13</v>
      </c>
      <c r="H38" s="7">
        <v>35</v>
      </c>
      <c r="J38" s="6" t="s">
        <v>3</v>
      </c>
      <c r="K38" s="7">
        <v>625000</v>
      </c>
    </row>
    <row r="39" spans="1:11" x14ac:dyDescent="0.3">
      <c r="A39" s="6" t="s">
        <v>3</v>
      </c>
      <c r="B39" s="7">
        <v>208333.33333333334</v>
      </c>
      <c r="D39" s="6" t="s">
        <v>32</v>
      </c>
      <c r="E39" s="7">
        <v>330000</v>
      </c>
      <c r="G39" s="6" t="s">
        <v>11</v>
      </c>
      <c r="H39" s="7">
        <v>26</v>
      </c>
      <c r="J39" s="8" t="s">
        <v>13</v>
      </c>
      <c r="K39" s="7">
        <v>75000</v>
      </c>
    </row>
    <row r="40" spans="1:11" x14ac:dyDescent="0.3">
      <c r="A40" s="6" t="s">
        <v>1</v>
      </c>
      <c r="B40" s="7">
        <v>179583.33333333334</v>
      </c>
      <c r="D40" s="6" t="s">
        <v>1</v>
      </c>
      <c r="E40" s="7">
        <v>2155000</v>
      </c>
      <c r="G40" s="6" t="s">
        <v>12</v>
      </c>
      <c r="H40" s="7">
        <v>34</v>
      </c>
      <c r="J40" s="8" t="s">
        <v>11</v>
      </c>
      <c r="K40" s="7">
        <v>550000</v>
      </c>
    </row>
    <row r="41" spans="1:11" x14ac:dyDescent="0.3">
      <c r="G41" s="6" t="s">
        <v>1</v>
      </c>
      <c r="H41" s="7">
        <v>95</v>
      </c>
      <c r="J41" s="6" t="s">
        <v>1</v>
      </c>
      <c r="K41" s="7">
        <v>2155000</v>
      </c>
    </row>
    <row r="42" spans="1:11" x14ac:dyDescent="0.3">
      <c r="A42" s="4" t="s">
        <v>10</v>
      </c>
      <c r="B42" s="5" t="s">
        <v>9</v>
      </c>
      <c r="D42" s="4" t="s">
        <v>10</v>
      </c>
      <c r="E42" s="5" t="s">
        <v>9</v>
      </c>
    </row>
    <row r="43" spans="1:11" x14ac:dyDescent="0.3">
      <c r="A43" s="6" t="s">
        <v>8</v>
      </c>
      <c r="B43" s="7">
        <v>540000</v>
      </c>
      <c r="D43" s="6" t="s">
        <v>7</v>
      </c>
      <c r="E43" s="7">
        <v>940000</v>
      </c>
    </row>
    <row r="44" spans="1:11" x14ac:dyDescent="0.3">
      <c r="A44" s="6" t="s">
        <v>1</v>
      </c>
      <c r="B44" s="7">
        <v>540000</v>
      </c>
      <c r="D44" s="6" t="s">
        <v>5</v>
      </c>
      <c r="E44" s="7">
        <v>590000</v>
      </c>
    </row>
    <row r="45" spans="1:11" x14ac:dyDescent="0.3">
      <c r="D45" s="6" t="s">
        <v>3</v>
      </c>
      <c r="E45" s="7">
        <v>625000</v>
      </c>
    </row>
    <row r="46" spans="1:11" x14ac:dyDescent="0.3">
      <c r="D46" s="6" t="s">
        <v>1</v>
      </c>
      <c r="E46" s="7">
        <v>2155000</v>
      </c>
    </row>
  </sheetData>
  <mergeCells count="2">
    <mergeCell ref="H17:I17"/>
    <mergeCell ref="J17:K17"/>
  </mergeCells>
  <pageMargins left="0.7" right="0.7" top="0.75" bottom="0.75" header="0.3" footer="0.3"/>
  <pageSetup orientation="portrait" r:id="rId11"/>
  <drawing r:id="rId12"/>
  <tableParts count="2">
    <tablePart r:id="rId13"/>
    <tablePart r:id="rId14"/>
  </tableParts>
  <extLst>
    <ext xmlns:x14="http://schemas.microsoft.com/office/spreadsheetml/2009/9/main" uri="{05C60535-1F16-4fd2-B633-F4F36F0B64E0}">
      <x14:sparklineGroups xmlns:xm="http://schemas.microsoft.com/office/excel/2006/main">
        <x14:sparklineGroup type="column" displayEmptyCellsAs="gap" high="1" low="1" xr2:uid="{61EAD9F3-7977-425B-913A-4E710C1739C5}">
          <x14:colorSeries rgb="FF376092"/>
          <x14:colorNegative rgb="FFD00000"/>
          <x14:colorAxis rgb="FF000000"/>
          <x14:colorMarkers rgb="FFD00000"/>
          <x14:colorFirst rgb="FFD00000"/>
          <x14:colorLast rgb="FFD00000"/>
          <x14:colorHigh rgb="FFD00000"/>
          <x14:colorLow rgb="FFD00000"/>
          <x14:sparklines>
            <x14:sparkline>
              <xm:f>Sheet1!F17:F28</xm:f>
              <xm:sqref>I25</xm:sqref>
            </x14:sparkline>
          </x14:sparklines>
        </x14:sparklineGroup>
        <x14:sparklineGroup type="column" displayEmptyCellsAs="gap" high="1" low="1" xr2:uid="{8D2D3CB4-BE76-4AD8-8DE5-3FFF46886EB6}">
          <x14:colorSeries rgb="FF376092"/>
          <x14:colorNegative rgb="FFD00000"/>
          <x14:colorAxis rgb="FF000000"/>
          <x14:colorMarkers rgb="FFD00000"/>
          <x14:colorFirst rgb="FFD00000"/>
          <x14:colorLast rgb="FFD00000"/>
          <x14:colorHigh rgb="FFD00000"/>
          <x14:colorLow rgb="FFD00000"/>
          <x14:sparklines>
            <x14:sparkline>
              <xm:f>Sheet1!G17:G28</xm:f>
              <xm:sqref>J25</xm:sqref>
            </x14:sparkline>
          </x14:sparklines>
        </x14:sparklineGroup>
        <x14:sparklineGroup type="column" displayEmptyCellsAs="gap" high="1" low="1" xr2:uid="{6EA0F9EC-B0CB-4FA0-B056-0A1DE9D6BB5C}">
          <x14:colorSeries rgb="FF376092"/>
          <x14:colorNegative rgb="FFD00000"/>
          <x14:colorAxis rgb="FF000000"/>
          <x14:colorMarkers rgb="FFD00000"/>
          <x14:colorFirst rgb="FFD00000"/>
          <x14:colorLast rgb="FFD00000"/>
          <x14:colorHigh rgb="FFD00000"/>
          <x14:colorLow rgb="FFD00000"/>
          <x14:sparklines>
            <x14:sparkline>
              <xm:f>Sheet1!H17:H28</xm:f>
              <xm:sqref>K25</xm:sqref>
            </x14:sparkline>
          </x14:sparklines>
        </x14:sparklineGroup>
      </x14:sparklineGroups>
    </ext>
    <ext xmlns:x15="http://schemas.microsoft.com/office/spreadsheetml/2010/11/main" uri="{7E03D99C-DC04-49d9-9315-930204A7B6E9}">
      <x15:timelineRefs>
        <x15:timelineRef r:id="rId15"/>
      </x15:timelineRef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1226F-52CD-4D99-8AF7-90F813F992A6}">
  <sheetPr codeName="Sheet2"/>
  <dimension ref="E1:J1"/>
  <sheetViews>
    <sheetView tabSelected="1" zoomScale="120" zoomScaleNormal="120" workbookViewId="0">
      <selection activeCell="S19" sqref="S19"/>
    </sheetView>
  </sheetViews>
  <sheetFormatPr defaultRowHeight="14.4" x14ac:dyDescent="0.3"/>
  <sheetData>
    <row r="1" spans="5:10" ht="18" x14ac:dyDescent="0.35">
      <c r="E1" s="10" t="s">
        <v>0</v>
      </c>
      <c r="F1" s="11"/>
      <c r="G1" s="11"/>
      <c r="H1" s="11"/>
      <c r="I1" s="11"/>
      <c r="J1" s="11"/>
    </row>
  </sheetData>
  <mergeCells count="1">
    <mergeCell ref="E1:J1"/>
  </mergeCells>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sanskar negi</dc:creator>
  <cp:lastModifiedBy>sanskar negi</cp:lastModifiedBy>
  <dcterms:created xsi:type="dcterms:W3CDTF">2026-09-23T18:00:24Z</dcterms:created>
  <dcterms:modified xsi:type="dcterms:W3CDTF">2026-09-24T15:33:40Z</dcterms:modified>
</cp:coreProperties>
</file>